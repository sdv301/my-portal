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24\Downloads\"/>
    </mc:Choice>
  </mc:AlternateContent>
  <xr:revisionPtr revIDLastSave="0" documentId="13_ncr:1_{E4DFAA94-A5BD-4C48-A425-C85F5805ADF9}" xr6:coauthVersionLast="47" xr6:coauthVersionMax="47" xr10:uidLastSave="{00000000-0000-0000-0000-000000000000}"/>
  <bookViews>
    <workbookView xWindow="4965" yWindow="2385" windowWidth="23250" windowHeight="12480" xr2:uid="{00000000-000D-0000-FFFF-FFFF00000000}"/>
  </bookViews>
  <sheets>
    <sheet name="Лист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1" l="1"/>
  <c r="I39" i="1"/>
  <c r="H39" i="1"/>
  <c r="G39" i="1"/>
  <c r="N38" i="1"/>
  <c r="M38" i="1"/>
  <c r="L38" i="1"/>
  <c r="F38" i="1" s="1"/>
  <c r="K38" i="1"/>
  <c r="D38" i="1" s="1"/>
  <c r="J38" i="1"/>
  <c r="I38" i="1"/>
  <c r="P37" i="1"/>
  <c r="P39" i="1" s="1"/>
  <c r="P5" i="1" s="1"/>
  <c r="O37" i="1"/>
  <c r="O39" i="1" s="1"/>
  <c r="N37" i="1"/>
  <c r="N39" i="1" s="1"/>
  <c r="N5" i="1" s="1"/>
  <c r="M37" i="1"/>
  <c r="L37" i="1"/>
  <c r="K37" i="1"/>
  <c r="K39" i="1" s="1"/>
  <c r="J37" i="1"/>
  <c r="I37" i="1"/>
  <c r="D37" i="1"/>
  <c r="N36" i="1"/>
  <c r="M36" i="1"/>
  <c r="M39" i="1" s="1"/>
  <c r="M5" i="1" s="1"/>
  <c r="L36" i="1"/>
  <c r="L39" i="1" s="1"/>
  <c r="K36" i="1"/>
  <c r="J36" i="1"/>
  <c r="I36" i="1"/>
  <c r="D36" i="1" s="1"/>
  <c r="F36" i="1"/>
  <c r="P34" i="1"/>
  <c r="O34" i="1"/>
  <c r="O5" i="1" s="1"/>
  <c r="N34" i="1"/>
  <c r="M34" i="1"/>
  <c r="L33" i="1"/>
  <c r="K33" i="1"/>
  <c r="J33" i="1"/>
  <c r="F33" i="1" s="1"/>
  <c r="E33" i="1" s="1"/>
  <c r="I33" i="1"/>
  <c r="H33" i="1"/>
  <c r="G33" i="1"/>
  <c r="D33" i="1" s="1"/>
  <c r="L32" i="1"/>
  <c r="K32" i="1"/>
  <c r="D32" i="1" s="1"/>
  <c r="J32" i="1"/>
  <c r="I32" i="1"/>
  <c r="H32" i="1"/>
  <c r="F32" i="1" s="1"/>
  <c r="E32" i="1" s="1"/>
  <c r="G32" i="1"/>
  <c r="L31" i="1"/>
  <c r="F31" i="1" s="1"/>
  <c r="E31" i="1" s="1"/>
  <c r="K31" i="1"/>
  <c r="J31" i="1"/>
  <c r="I31" i="1"/>
  <c r="H31" i="1"/>
  <c r="G31" i="1"/>
  <c r="D31" i="1"/>
  <c r="L30" i="1"/>
  <c r="K30" i="1"/>
  <c r="J30" i="1"/>
  <c r="I30" i="1"/>
  <c r="H30" i="1"/>
  <c r="G30" i="1"/>
  <c r="D30" i="1" s="1"/>
  <c r="E30" i="1" s="1"/>
  <c r="F30" i="1"/>
  <c r="L29" i="1"/>
  <c r="K29" i="1"/>
  <c r="J29" i="1"/>
  <c r="I29" i="1"/>
  <c r="H29" i="1"/>
  <c r="G29" i="1"/>
  <c r="D29" i="1" s="1"/>
  <c r="F29" i="1"/>
  <c r="L28" i="1"/>
  <c r="K28" i="1"/>
  <c r="J28" i="1"/>
  <c r="I28" i="1"/>
  <c r="H28" i="1"/>
  <c r="F28" i="1" s="1"/>
  <c r="G28" i="1"/>
  <c r="D28" i="1" s="1"/>
  <c r="L27" i="1"/>
  <c r="K27" i="1"/>
  <c r="J27" i="1"/>
  <c r="I27" i="1"/>
  <c r="D27" i="1" s="1"/>
  <c r="H27" i="1"/>
  <c r="F27" i="1" s="1"/>
  <c r="E27" i="1" s="1"/>
  <c r="G27" i="1"/>
  <c r="L26" i="1"/>
  <c r="K26" i="1"/>
  <c r="J26" i="1"/>
  <c r="F26" i="1" s="1"/>
  <c r="E26" i="1" s="1"/>
  <c r="I26" i="1"/>
  <c r="D26" i="1" s="1"/>
  <c r="H26" i="1"/>
  <c r="G26" i="1"/>
  <c r="L25" i="1"/>
  <c r="K25" i="1"/>
  <c r="J25" i="1"/>
  <c r="F25" i="1" s="1"/>
  <c r="I25" i="1"/>
  <c r="H25" i="1"/>
  <c r="G25" i="1"/>
  <c r="D25" i="1" s="1"/>
  <c r="L24" i="1"/>
  <c r="K24" i="1"/>
  <c r="D24" i="1" s="1"/>
  <c r="J24" i="1"/>
  <c r="I24" i="1"/>
  <c r="H24" i="1"/>
  <c r="F24" i="1" s="1"/>
  <c r="G24" i="1"/>
  <c r="L23" i="1"/>
  <c r="F23" i="1" s="1"/>
  <c r="E23" i="1" s="1"/>
  <c r="K23" i="1"/>
  <c r="J23" i="1"/>
  <c r="I23" i="1"/>
  <c r="H23" i="1"/>
  <c r="G23" i="1"/>
  <c r="D23" i="1"/>
  <c r="L22" i="1"/>
  <c r="K22" i="1"/>
  <c r="J22" i="1"/>
  <c r="I22" i="1"/>
  <c r="H22" i="1"/>
  <c r="G22" i="1"/>
  <c r="D22" i="1" s="1"/>
  <c r="E22" i="1" s="1"/>
  <c r="F22" i="1"/>
  <c r="L21" i="1"/>
  <c r="K21" i="1"/>
  <c r="J21" i="1"/>
  <c r="I21" i="1"/>
  <c r="H21" i="1"/>
  <c r="G21" i="1"/>
  <c r="D21" i="1" s="1"/>
  <c r="F21" i="1"/>
  <c r="E21" i="1" s="1"/>
  <c r="L20" i="1"/>
  <c r="K20" i="1"/>
  <c r="J20" i="1"/>
  <c r="I20" i="1"/>
  <c r="H20" i="1"/>
  <c r="F20" i="1" s="1"/>
  <c r="G20" i="1"/>
  <c r="D20" i="1" s="1"/>
  <c r="L19" i="1"/>
  <c r="K19" i="1"/>
  <c r="J19" i="1"/>
  <c r="I19" i="1"/>
  <c r="D19" i="1" s="1"/>
  <c r="H19" i="1"/>
  <c r="F19" i="1" s="1"/>
  <c r="E19" i="1" s="1"/>
  <c r="G19" i="1"/>
  <c r="L18" i="1"/>
  <c r="K18" i="1"/>
  <c r="J18" i="1"/>
  <c r="F18" i="1" s="1"/>
  <c r="I18" i="1"/>
  <c r="D18" i="1" s="1"/>
  <c r="H18" i="1"/>
  <c r="G18" i="1"/>
  <c r="L17" i="1"/>
  <c r="K17" i="1"/>
  <c r="J17" i="1"/>
  <c r="F17" i="1" s="1"/>
  <c r="I17" i="1"/>
  <c r="H17" i="1"/>
  <c r="G17" i="1"/>
  <c r="D17" i="1" s="1"/>
  <c r="L16" i="1"/>
  <c r="K16" i="1"/>
  <c r="D16" i="1" s="1"/>
  <c r="J16" i="1"/>
  <c r="I16" i="1"/>
  <c r="H16" i="1"/>
  <c r="F16" i="1" s="1"/>
  <c r="E16" i="1" s="1"/>
  <c r="G16" i="1"/>
  <c r="L15" i="1"/>
  <c r="F15" i="1" s="1"/>
  <c r="E15" i="1" s="1"/>
  <c r="K15" i="1"/>
  <c r="J15" i="1"/>
  <c r="I15" i="1"/>
  <c r="H15" i="1"/>
  <c r="G15" i="1"/>
  <c r="D15" i="1"/>
  <c r="L14" i="1"/>
  <c r="K14" i="1"/>
  <c r="J14" i="1"/>
  <c r="I14" i="1"/>
  <c r="H14" i="1"/>
  <c r="G14" i="1"/>
  <c r="D14" i="1" s="1"/>
  <c r="E14" i="1" s="1"/>
  <c r="F14" i="1"/>
  <c r="L13" i="1"/>
  <c r="K13" i="1"/>
  <c r="J13" i="1"/>
  <c r="I13" i="1"/>
  <c r="H13" i="1"/>
  <c r="G13" i="1"/>
  <c r="D13" i="1" s="1"/>
  <c r="F13" i="1"/>
  <c r="E13" i="1" s="1"/>
  <c r="L12" i="1"/>
  <c r="K12" i="1"/>
  <c r="J12" i="1"/>
  <c r="I12" i="1"/>
  <c r="H12" i="1"/>
  <c r="F12" i="1" s="1"/>
  <c r="E12" i="1" s="1"/>
  <c r="G12" i="1"/>
  <c r="D12" i="1" s="1"/>
  <c r="L11" i="1"/>
  <c r="K11" i="1"/>
  <c r="J11" i="1"/>
  <c r="I11" i="1"/>
  <c r="D11" i="1" s="1"/>
  <c r="H11" i="1"/>
  <c r="F11" i="1" s="1"/>
  <c r="E11" i="1" s="1"/>
  <c r="G11" i="1"/>
  <c r="L10" i="1"/>
  <c r="K10" i="1"/>
  <c r="J10" i="1"/>
  <c r="F10" i="1" s="1"/>
  <c r="I10" i="1"/>
  <c r="H10" i="1"/>
  <c r="G10" i="1"/>
  <c r="D10" i="1" s="1"/>
  <c r="L9" i="1"/>
  <c r="K9" i="1"/>
  <c r="J9" i="1"/>
  <c r="F9" i="1" s="1"/>
  <c r="I9" i="1"/>
  <c r="H9" i="1"/>
  <c r="G9" i="1"/>
  <c r="G34" i="1" s="1"/>
  <c r="G5" i="1" s="1"/>
  <c r="L8" i="1"/>
  <c r="K8" i="1"/>
  <c r="D8" i="1" s="1"/>
  <c r="J8" i="1"/>
  <c r="I8" i="1"/>
  <c r="H8" i="1"/>
  <c r="F8" i="1" s="1"/>
  <c r="E8" i="1" s="1"/>
  <c r="G8" i="1"/>
  <c r="L7" i="1"/>
  <c r="L34" i="1" s="1"/>
  <c r="K7" i="1"/>
  <c r="J7" i="1"/>
  <c r="I7" i="1"/>
  <c r="I34" i="1" s="1"/>
  <c r="I5" i="1" s="1"/>
  <c r="H7" i="1"/>
  <c r="H34" i="1" s="1"/>
  <c r="H5" i="1" s="1"/>
  <c r="G7" i="1"/>
  <c r="D7" i="1"/>
  <c r="E17" i="1" l="1"/>
  <c r="E20" i="1"/>
  <c r="E29" i="1"/>
  <c r="E38" i="1"/>
  <c r="F39" i="1"/>
  <c r="L5" i="1"/>
  <c r="E10" i="1"/>
  <c r="E24" i="1"/>
  <c r="E25" i="1"/>
  <c r="E28" i="1"/>
  <c r="D34" i="1"/>
  <c r="D5" i="1" s="1"/>
  <c r="E18" i="1"/>
  <c r="D39" i="1"/>
  <c r="E36" i="1"/>
  <c r="F7" i="1"/>
  <c r="D9" i="1"/>
  <c r="E9" i="1" s="1"/>
  <c r="F37" i="1"/>
  <c r="E37" i="1" s="1"/>
  <c r="K34" i="1"/>
  <c r="K5" i="1" s="1"/>
  <c r="J34" i="1"/>
  <c r="J5" i="1" s="1"/>
  <c r="F34" i="1" l="1"/>
  <c r="F5" i="1" s="1"/>
  <c r="E7" i="1"/>
</calcChain>
</file>

<file path=xl/sharedStrings.xml><?xml version="1.0" encoding="utf-8"?>
<sst xmlns="http://schemas.openxmlformats.org/spreadsheetml/2006/main" count="89" uniqueCount="49">
  <si>
    <t>Всего выпущено из РРЧС в 2025 году</t>
  </si>
  <si>
    <t xml:space="preserve">в том числе </t>
  </si>
  <si>
    <t>МР "Жиганский национальный эвенкийский район" РС(Я)</t>
  </si>
  <si>
    <t>МР "Оймяконский улус" РС(Я)</t>
  </si>
  <si>
    <t>МО "Абыйский улус" РС(Я)</t>
  </si>
  <si>
    <t>ГБУ РС(Я) "Служба спасения РС(Я)"</t>
  </si>
  <si>
    <t>ГБУ РС(Я) "Государственная противопожарная служба РС(Я)"</t>
  </si>
  <si>
    <t>№</t>
  </si>
  <si>
    <t>Наименование</t>
  </si>
  <si>
    <t>ед изм</t>
  </si>
  <si>
    <t>Кол-во</t>
  </si>
  <si>
    <t>Цена за единицу, руб. (балансовая)</t>
  </si>
  <si>
    <t>Стоимость, руб</t>
  </si>
  <si>
    <t>ВСЕГО выпущено из РРЧС</t>
  </si>
  <si>
    <t>Продовольствие, вещевое имущество, предметы первой необходимости</t>
  </si>
  <si>
    <t>Индивидуальный рацион питания</t>
  </si>
  <si>
    <t>шт</t>
  </si>
  <si>
    <t>Помпы (насосы) для откачки воды</t>
  </si>
  <si>
    <t>Тепловые пушки</t>
  </si>
  <si>
    <t>Генератор электроэнергии</t>
  </si>
  <si>
    <t>Мешкотара</t>
  </si>
  <si>
    <t>Кухня переносная</t>
  </si>
  <si>
    <t>Миски</t>
  </si>
  <si>
    <t>Кружки</t>
  </si>
  <si>
    <t>Ложки</t>
  </si>
  <si>
    <t>Ведра</t>
  </si>
  <si>
    <t>Чайники</t>
  </si>
  <si>
    <t>Кастрюли</t>
  </si>
  <si>
    <t>Поварешки</t>
  </si>
  <si>
    <t>Спички</t>
  </si>
  <si>
    <t>Бензопилы</t>
  </si>
  <si>
    <t>Газодымозащитные респираторы</t>
  </si>
  <si>
    <t>Очки газодымозащитные</t>
  </si>
  <si>
    <t>Лопаты штыковые</t>
  </si>
  <si>
    <t>Топоры</t>
  </si>
  <si>
    <t>Ранцевые огнетушители</t>
  </si>
  <si>
    <t xml:space="preserve">Мягкие мобильные резервуары для воды </t>
  </si>
  <si>
    <t>Палатки</t>
  </si>
  <si>
    <t>Кровати раскладные</t>
  </si>
  <si>
    <t>Лодки резиновые</t>
  </si>
  <si>
    <t>Фильтры для воды носимые</t>
  </si>
  <si>
    <t>Тенты многофункциональные</t>
  </si>
  <si>
    <t>Радиостанции носимые (портативные)</t>
  </si>
  <si>
    <t>Итого</t>
  </si>
  <si>
    <t>Нефтепродукты</t>
  </si>
  <si>
    <t>авиационное топливо</t>
  </si>
  <si>
    <t>тн</t>
  </si>
  <si>
    <t>бензин автомобильный</t>
  </si>
  <si>
    <t>дизельное топливо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</si>
</sst>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rgb="FF9DC3E6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vertical="center"/>
    </xf>
    <xf numFmtId="164" fontId="3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2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2">
    <cellStyle name="Обычный" xfId="0" builtinId="0"/>
    <cellStyle name="Обычный 2" xfId="1" xr:uid="{EBF1F3FE-E02A-492F-9638-355D27B897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1044;&#1077;&#1087;&#1072;&#1088;&#1090;&#1072;&#1084;&#1077;&#1085;&#1090;%20&#1082;&#1086;&#1086;&#1088;&#1076;&#1080;&#1085;&#1072;&#1094;&#1080;&#1080;%20&#1079;&#1072;&#1074;&#1086;&#1079;&#1072;%20&#1075;&#1088;&#1091;&#1079;&#1086;&#1074;%20&#1080;%20&#1086;&#1088;&#1075;&#1072;&#1085;&#1080;&#1079;&#1072;&#1094;&#1080;&#1080;%20&#1084;&#1086;&#1073;&#1080;&#1083;&#1080;&#1079;&#1072;&#1094;&#1080;&#1086;&#1085;&#1085;&#1086;&#1081;%20&#1087;&#1086;&#1076;&#1075;&#1086;&#1090;&#1086;&#1074;&#1082;&#1080;\&#1052;&#1040;&#1058;&#1056;&#1045;&#1047;&#1045;&#1056;&#1042;\4%20&#1042;&#1099;&#1087;&#1091;&#1089;&#1082;%20&#1087;&#1086;%20&#1088;&#1077;&#1096;&#1077;&#1085;&#1080;&#1103;&#1084;%20&#1050;&#1063;&#1057;\&#1052;&#1072;&#1090;&#1077;&#1088;&#1080;&#1072;&#1083;&#1099;%20&#1080;&#1085;&#1092;&#1086;&#1088;&#1084;&#1072;&#1094;&#1080;&#1080;%202025\&#1057;&#1042;&#1054;&#1044;%20&#1088;&#1077;&#1077;&#1089;&#1090;&#1088;%20&#1074;&#1099;&#1087;&#1091;&#1089;&#1082;&#1072;%20&#1056;&#1056;&#1063;&#1057;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1044;&#1077;&#1087;&#1072;&#1088;&#1090;&#1072;&#1084;&#1077;&#1085;&#1090;%20&#1082;&#1086;&#1086;&#1088;&#1076;&#1080;&#1085;&#1072;&#1094;&#1080;&#1080;%20&#1079;&#1072;&#1074;&#1086;&#1079;&#1072;%20&#1075;&#1088;&#1091;&#1079;&#1086;&#1074;%20&#1080;%20&#1086;&#1088;&#1075;&#1072;&#1085;&#1080;&#1079;&#1072;&#1094;&#1080;&#1080;%20&#1084;&#1086;&#1073;&#1080;&#1083;&#1080;&#1079;&#1072;&#1094;&#1080;&#1086;&#1085;&#1085;&#1086;&#1081;%20&#1087;&#1086;&#1076;&#1075;&#1086;&#1090;&#1086;&#1074;&#1082;&#1080;\&#1052;&#1040;&#1058;&#1056;&#1045;&#1047;&#1045;&#1056;&#1042;\4%20&#1042;&#1099;&#1087;&#1091;&#1089;&#1082;%20&#1087;&#1086;%20&#1088;&#1077;&#1096;&#1077;&#1085;&#1080;&#1103;&#1084;%20&#1050;&#1063;&#1057;\&#1052;&#1072;&#1090;&#1077;&#1088;&#1080;&#1072;&#1083;&#1099;%20&#1080;&#1085;&#1092;&#1086;&#1088;&#1084;&#1072;&#1094;&#1080;&#1080;%202025\&#1057;&#1042;&#1054;&#1044;%20&#1088;&#1077;&#1077;&#1089;&#1090;&#1088;%20&#1074;&#1099;&#1087;&#1091;&#1089;&#1082;&#1072;%20&#1056;&#1056;&#1063;&#1057;%202025_&#1086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Г_2025 (2)"/>
      <sheetName val="ПГ_2025 (3)"/>
      <sheetName val="Лист4"/>
      <sheetName val="Вещевое имущество"/>
      <sheetName val="Оймяконский"/>
      <sheetName val="нефтепродукты"/>
      <sheetName val="прил к распПГ"/>
      <sheetName val="прил к распЧС"/>
      <sheetName val="Лист2"/>
      <sheetName val="СВОД_выпуск_потребность"/>
      <sheetName val="ПГ_2025"/>
      <sheetName val="пожары_2024"/>
      <sheetName val="боотур"/>
      <sheetName val="Сводобщий"/>
      <sheetName val="факт"/>
      <sheetName val="ВЫПУСК_2024свод"/>
      <sheetName val="Сводобщий (2)"/>
      <sheetName val="СВОД_выпуск_потребность (2)"/>
      <sheetName val="Лист1"/>
      <sheetName val="прил к распПГ (2)"/>
    </sheetNames>
    <sheetDataSet>
      <sheetData sheetId="0"/>
      <sheetData sheetId="1"/>
      <sheetData sheetId="2"/>
      <sheetData sheetId="3"/>
      <sheetData sheetId="4"/>
      <sheetData sheetId="5"/>
      <sheetData sheetId="6">
        <row r="133">
          <cell r="G133">
            <v>0</v>
          </cell>
          <cell r="I133">
            <v>0</v>
          </cell>
        </row>
        <row r="134">
          <cell r="G134">
            <v>0</v>
          </cell>
          <cell r="I134">
            <v>0</v>
          </cell>
        </row>
        <row r="137">
          <cell r="G137">
            <v>0</v>
          </cell>
          <cell r="I137">
            <v>0</v>
          </cell>
        </row>
        <row r="138">
          <cell r="G138">
            <v>0</v>
          </cell>
          <cell r="I138">
            <v>0</v>
          </cell>
        </row>
        <row r="139">
          <cell r="G139">
            <v>0</v>
          </cell>
          <cell r="I139">
            <v>0</v>
          </cell>
        </row>
        <row r="140">
          <cell r="G140">
            <v>0</v>
          </cell>
          <cell r="I140">
            <v>0</v>
          </cell>
        </row>
        <row r="141">
          <cell r="G141">
            <v>0</v>
          </cell>
          <cell r="I141">
            <v>0</v>
          </cell>
        </row>
        <row r="142">
          <cell r="G142">
            <v>0</v>
          </cell>
          <cell r="I142">
            <v>0</v>
          </cell>
        </row>
        <row r="143">
          <cell r="G143">
            <v>0</v>
          </cell>
          <cell r="I143">
            <v>0</v>
          </cell>
        </row>
        <row r="144">
          <cell r="G144">
            <v>0</v>
          </cell>
          <cell r="I144">
            <v>0</v>
          </cell>
        </row>
        <row r="145">
          <cell r="G145">
            <v>0</v>
          </cell>
          <cell r="I145">
            <v>0</v>
          </cell>
        </row>
        <row r="146">
          <cell r="G146">
            <v>0</v>
          </cell>
          <cell r="I146">
            <v>0</v>
          </cell>
        </row>
        <row r="147">
          <cell r="G147">
            <v>0</v>
          </cell>
          <cell r="I147">
            <v>0</v>
          </cell>
        </row>
        <row r="148">
          <cell r="G148">
            <v>0</v>
          </cell>
          <cell r="I148">
            <v>0</v>
          </cell>
        </row>
        <row r="149">
          <cell r="G149">
            <v>0</v>
          </cell>
          <cell r="I149">
            <v>0</v>
          </cell>
        </row>
        <row r="150">
          <cell r="G150">
            <v>0</v>
          </cell>
          <cell r="I150">
            <v>0</v>
          </cell>
        </row>
        <row r="151">
          <cell r="G151">
            <v>0</v>
          </cell>
          <cell r="I151">
            <v>0</v>
          </cell>
        </row>
        <row r="152">
          <cell r="G152">
            <v>0</v>
          </cell>
          <cell r="I152">
            <v>0</v>
          </cell>
        </row>
        <row r="153">
          <cell r="G153">
            <v>0</v>
          </cell>
          <cell r="I153">
            <v>0</v>
          </cell>
        </row>
        <row r="154">
          <cell r="G154">
            <v>0</v>
          </cell>
          <cell r="I154">
            <v>0</v>
          </cell>
        </row>
        <row r="155">
          <cell r="G155">
            <v>0</v>
          </cell>
          <cell r="I155">
            <v>0</v>
          </cell>
        </row>
        <row r="156">
          <cell r="G156">
            <v>0</v>
          </cell>
          <cell r="I156">
            <v>0</v>
          </cell>
        </row>
        <row r="157">
          <cell r="G157">
            <v>0</v>
          </cell>
          <cell r="I157">
            <v>0</v>
          </cell>
        </row>
        <row r="158">
          <cell r="G158">
            <v>0</v>
          </cell>
          <cell r="I158">
            <v>0</v>
          </cell>
        </row>
        <row r="159">
          <cell r="G159">
            <v>0</v>
          </cell>
          <cell r="I159">
            <v>0</v>
          </cell>
        </row>
        <row r="171">
          <cell r="G171">
            <v>0</v>
          </cell>
          <cell r="I171">
            <v>0</v>
          </cell>
        </row>
        <row r="173">
          <cell r="G173">
            <v>0</v>
          </cell>
          <cell r="I173">
            <v>0</v>
          </cell>
        </row>
        <row r="174">
          <cell r="G174">
            <v>0</v>
          </cell>
          <cell r="I174">
            <v>0</v>
          </cell>
        </row>
        <row r="175">
          <cell r="G175">
            <v>0</v>
          </cell>
          <cell r="I175">
            <v>0</v>
          </cell>
        </row>
        <row r="176">
          <cell r="G176">
            <v>0</v>
          </cell>
          <cell r="I176">
            <v>0</v>
          </cell>
        </row>
        <row r="177">
          <cell r="G177">
            <v>0</v>
          </cell>
          <cell r="I177">
            <v>0</v>
          </cell>
        </row>
        <row r="178">
          <cell r="G178">
            <v>0</v>
          </cell>
          <cell r="I178">
            <v>0</v>
          </cell>
        </row>
        <row r="179">
          <cell r="G179">
            <v>0</v>
          </cell>
          <cell r="I179">
            <v>0</v>
          </cell>
        </row>
        <row r="180">
          <cell r="G180">
            <v>0</v>
          </cell>
          <cell r="I180">
            <v>0</v>
          </cell>
        </row>
        <row r="182">
          <cell r="G182">
            <v>0</v>
          </cell>
          <cell r="I182">
            <v>0</v>
          </cell>
        </row>
        <row r="183">
          <cell r="G183">
            <v>0</v>
          </cell>
          <cell r="I183">
            <v>0</v>
          </cell>
        </row>
        <row r="184">
          <cell r="G184">
            <v>0</v>
          </cell>
          <cell r="I184">
            <v>0</v>
          </cell>
        </row>
        <row r="185">
          <cell r="G185">
            <v>0</v>
          </cell>
          <cell r="I185">
            <v>0</v>
          </cell>
        </row>
        <row r="186">
          <cell r="G186">
            <v>0</v>
          </cell>
          <cell r="I186">
            <v>0</v>
          </cell>
        </row>
        <row r="187">
          <cell r="G187">
            <v>0</v>
          </cell>
          <cell r="I187">
            <v>0</v>
          </cell>
        </row>
        <row r="189">
          <cell r="G189">
            <v>0</v>
          </cell>
          <cell r="I189">
            <v>0</v>
          </cell>
        </row>
        <row r="192">
          <cell r="G192">
            <v>0</v>
          </cell>
          <cell r="I192">
            <v>0</v>
          </cell>
        </row>
        <row r="193">
          <cell r="G193">
            <v>0</v>
          </cell>
          <cell r="I193">
            <v>0</v>
          </cell>
        </row>
        <row r="231">
          <cell r="G231">
            <v>0</v>
          </cell>
          <cell r="I231">
            <v>0</v>
          </cell>
        </row>
        <row r="261">
          <cell r="G261">
            <v>0</v>
          </cell>
          <cell r="I261">
            <v>0</v>
          </cell>
        </row>
        <row r="262">
          <cell r="G262">
            <v>0</v>
          </cell>
          <cell r="I262">
            <v>0</v>
          </cell>
        </row>
        <row r="263">
          <cell r="G263">
            <v>0</v>
          </cell>
          <cell r="I263">
            <v>0</v>
          </cell>
        </row>
        <row r="264">
          <cell r="G264">
            <v>0</v>
          </cell>
          <cell r="I264">
            <v>0</v>
          </cell>
        </row>
        <row r="266">
          <cell r="G266">
            <v>0</v>
          </cell>
          <cell r="I266">
            <v>0</v>
          </cell>
        </row>
        <row r="267">
          <cell r="G267">
            <v>0</v>
          </cell>
          <cell r="I267">
            <v>0</v>
          </cell>
        </row>
        <row r="269">
          <cell r="G269">
            <v>0</v>
          </cell>
          <cell r="I269">
            <v>0</v>
          </cell>
        </row>
        <row r="270">
          <cell r="G270">
            <v>0</v>
          </cell>
          <cell r="I270">
            <v>0</v>
          </cell>
        </row>
        <row r="271">
          <cell r="G271">
            <v>0</v>
          </cell>
          <cell r="I271">
            <v>0</v>
          </cell>
        </row>
        <row r="272">
          <cell r="G272">
            <v>0</v>
          </cell>
          <cell r="I272">
            <v>0</v>
          </cell>
        </row>
        <row r="273">
          <cell r="G273">
            <v>0</v>
          </cell>
          <cell r="I273">
            <v>0</v>
          </cell>
        </row>
        <row r="274">
          <cell r="G274">
            <v>0</v>
          </cell>
          <cell r="I274">
            <v>0</v>
          </cell>
        </row>
        <row r="275">
          <cell r="G275">
            <v>0</v>
          </cell>
          <cell r="I275">
            <v>0</v>
          </cell>
        </row>
        <row r="276">
          <cell r="G276">
            <v>0</v>
          </cell>
          <cell r="I276">
            <v>0</v>
          </cell>
        </row>
        <row r="277">
          <cell r="G277">
            <v>0</v>
          </cell>
          <cell r="I277">
            <v>0</v>
          </cell>
        </row>
        <row r="278">
          <cell r="G278">
            <v>0</v>
          </cell>
          <cell r="I278">
            <v>0</v>
          </cell>
        </row>
        <row r="279">
          <cell r="G279">
            <v>0</v>
          </cell>
          <cell r="I279">
            <v>0</v>
          </cell>
        </row>
        <row r="280">
          <cell r="G280">
            <v>0</v>
          </cell>
          <cell r="I280">
            <v>0</v>
          </cell>
        </row>
        <row r="281">
          <cell r="G281">
            <v>0</v>
          </cell>
          <cell r="I281">
            <v>0</v>
          </cell>
        </row>
        <row r="282">
          <cell r="G282">
            <v>0</v>
          </cell>
          <cell r="I282">
            <v>0</v>
          </cell>
        </row>
        <row r="283">
          <cell r="G283">
            <v>0</v>
          </cell>
          <cell r="I283">
            <v>0</v>
          </cell>
        </row>
        <row r="284">
          <cell r="G284">
            <v>0</v>
          </cell>
          <cell r="I284">
            <v>0</v>
          </cell>
        </row>
        <row r="285">
          <cell r="G285">
            <v>0</v>
          </cell>
          <cell r="I285">
            <v>0</v>
          </cell>
        </row>
        <row r="286">
          <cell r="G286">
            <v>0</v>
          </cell>
          <cell r="I286">
            <v>0</v>
          </cell>
        </row>
        <row r="287">
          <cell r="G287">
            <v>0</v>
          </cell>
          <cell r="I287">
            <v>0</v>
          </cell>
        </row>
        <row r="288">
          <cell r="G288">
            <v>0</v>
          </cell>
          <cell r="I288">
            <v>0</v>
          </cell>
        </row>
        <row r="289">
          <cell r="G289">
            <v>0</v>
          </cell>
          <cell r="I289">
            <v>0</v>
          </cell>
        </row>
        <row r="290">
          <cell r="G290">
            <v>0</v>
          </cell>
          <cell r="I290">
            <v>0</v>
          </cell>
        </row>
        <row r="291">
          <cell r="G291">
            <v>0</v>
          </cell>
          <cell r="I291">
            <v>0</v>
          </cell>
        </row>
        <row r="292">
          <cell r="G292">
            <v>0</v>
          </cell>
          <cell r="I29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щевое имущество"/>
      <sheetName val="Оймяконский"/>
      <sheetName val="нефтепродукты"/>
      <sheetName val="прил к расп"/>
      <sheetName val="ПГ_2025"/>
      <sheetName val="проверка"/>
      <sheetName val="Сводобщий"/>
      <sheetName val="факт"/>
      <sheetName val="ВЫПУСК_2024свод"/>
      <sheetName val="Сводобщий (2)"/>
      <sheetName val="СВОД_выпуск_потребность (2)"/>
      <sheetName val="Лист1"/>
      <sheetName val="прил к распПГ (2)"/>
    </sheetNames>
    <sheetDataSet>
      <sheetData sheetId="0" refreshError="1"/>
      <sheetData sheetId="1" refreshError="1"/>
      <sheetData sheetId="2" refreshError="1"/>
      <sheetData sheetId="3">
        <row r="67">
          <cell r="H67">
            <v>0.6</v>
          </cell>
          <cell r="J67">
            <v>33408.618900000001</v>
          </cell>
        </row>
        <row r="68">
          <cell r="H68">
            <v>185.75</v>
          </cell>
          <cell r="J68">
            <v>14794026.090723073</v>
          </cell>
        </row>
        <row r="69">
          <cell r="H69">
            <v>2.5</v>
          </cell>
          <cell r="J69">
            <v>133753.9625100281</v>
          </cell>
        </row>
        <row r="70">
          <cell r="H70">
            <v>1.714</v>
          </cell>
          <cell r="J70">
            <v>104999.6849541284</v>
          </cell>
        </row>
        <row r="71">
          <cell r="H71">
            <v>3</v>
          </cell>
          <cell r="J71">
            <v>55249.89</v>
          </cell>
        </row>
        <row r="72">
          <cell r="H72">
            <v>4</v>
          </cell>
          <cell r="J72">
            <v>73666.52</v>
          </cell>
        </row>
        <row r="73">
          <cell r="H73">
            <v>2</v>
          </cell>
          <cell r="J73">
            <v>92495.54</v>
          </cell>
        </row>
        <row r="74">
          <cell r="H74">
            <v>1.514</v>
          </cell>
          <cell r="J74">
            <v>53539.218640000006</v>
          </cell>
        </row>
        <row r="75">
          <cell r="H75">
            <v>0.66800000000000004</v>
          </cell>
          <cell r="J75">
            <v>28621.822720000004</v>
          </cell>
        </row>
        <row r="76">
          <cell r="H76">
            <v>2000</v>
          </cell>
          <cell r="J76">
            <v>1481520</v>
          </cell>
        </row>
        <row r="77">
          <cell r="H77">
            <v>2</v>
          </cell>
          <cell r="J77">
            <v>127066.66</v>
          </cell>
        </row>
        <row r="78">
          <cell r="H78">
            <v>1</v>
          </cell>
          <cell r="J78">
            <v>149250</v>
          </cell>
        </row>
        <row r="79">
          <cell r="H79">
            <v>2</v>
          </cell>
          <cell r="J79">
            <v>905333.34</v>
          </cell>
        </row>
        <row r="80">
          <cell r="H80">
            <v>10</v>
          </cell>
          <cell r="J80">
            <v>186700.33000000002</v>
          </cell>
        </row>
        <row r="81">
          <cell r="H81">
            <v>22</v>
          </cell>
          <cell r="J81">
            <v>741257.67999999993</v>
          </cell>
        </row>
        <row r="82">
          <cell r="H82">
            <v>200</v>
          </cell>
          <cell r="J82">
            <v>390000</v>
          </cell>
        </row>
        <row r="83">
          <cell r="H83">
            <v>5</v>
          </cell>
          <cell r="J83">
            <v>249166.65000000002</v>
          </cell>
        </row>
        <row r="84">
          <cell r="H84">
            <v>2</v>
          </cell>
          <cell r="J84">
            <v>20222.68</v>
          </cell>
        </row>
        <row r="85">
          <cell r="H85">
            <v>5</v>
          </cell>
          <cell r="J85">
            <v>30910.17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abSelected="1" topLeftCell="A31" workbookViewId="0">
      <selection activeCell="E4" sqref="E4"/>
    </sheetView>
  </sheetViews>
  <sheetFormatPr defaultRowHeight="15" x14ac:dyDescent="0.25"/>
  <cols>
    <col min="4" max="4" width="15.5703125" customWidth="1"/>
    <col min="5" max="5" width="26.5703125" customWidth="1"/>
    <col min="6" max="6" width="21.140625" customWidth="1"/>
    <col min="7" max="7" width="30.85546875" customWidth="1"/>
    <col min="10" max="10" width="23.7109375" customWidth="1"/>
    <col min="12" max="12" width="18" customWidth="1"/>
    <col min="14" max="14" width="18.140625" customWidth="1"/>
    <col min="16" max="16" width="43.710937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1"/>
      <c r="B2" s="1"/>
      <c r="C2" s="1"/>
      <c r="D2" s="1"/>
      <c r="E2" s="1"/>
      <c r="F2" s="1"/>
      <c r="G2" s="3" t="s">
        <v>2</v>
      </c>
      <c r="H2" s="3"/>
      <c r="I2" s="4" t="s">
        <v>3</v>
      </c>
      <c r="J2" s="4"/>
      <c r="K2" s="4" t="s">
        <v>4</v>
      </c>
      <c r="L2" s="4"/>
      <c r="M2" s="3" t="s">
        <v>5</v>
      </c>
      <c r="N2" s="3"/>
      <c r="O2" s="3" t="s">
        <v>6</v>
      </c>
      <c r="P2" s="3"/>
    </row>
    <row r="3" spans="1:16" x14ac:dyDescent="0.25">
      <c r="A3" s="1"/>
      <c r="B3" s="1"/>
      <c r="C3" s="1"/>
      <c r="D3" s="1"/>
      <c r="E3" s="1"/>
      <c r="F3" s="1"/>
      <c r="G3" s="3"/>
      <c r="H3" s="3"/>
      <c r="I3" s="4"/>
      <c r="J3" s="4"/>
      <c r="K3" s="4"/>
      <c r="L3" s="4"/>
      <c r="M3" s="3"/>
      <c r="N3" s="3"/>
      <c r="O3" s="3"/>
      <c r="P3" s="3"/>
    </row>
    <row r="4" spans="1:16" ht="75" x14ac:dyDescent="0.25">
      <c r="A4" s="5" t="s">
        <v>7</v>
      </c>
      <c r="B4" s="6" t="s">
        <v>8</v>
      </c>
      <c r="C4" s="7" t="s">
        <v>9</v>
      </c>
      <c r="D4" s="7" t="s">
        <v>10</v>
      </c>
      <c r="E4" s="5" t="s">
        <v>11</v>
      </c>
      <c r="F4" s="8" t="s">
        <v>12</v>
      </c>
      <c r="G4" s="7" t="s">
        <v>10</v>
      </c>
      <c r="H4" s="5" t="s">
        <v>12</v>
      </c>
      <c r="I4" s="7" t="s">
        <v>10</v>
      </c>
      <c r="J4" s="5" t="s">
        <v>12</v>
      </c>
      <c r="K4" s="7" t="s">
        <v>10</v>
      </c>
      <c r="L4" s="5" t="s">
        <v>12</v>
      </c>
      <c r="M4" s="7" t="s">
        <v>10</v>
      </c>
      <c r="N4" s="5" t="s">
        <v>12</v>
      </c>
      <c r="O4" s="7" t="s">
        <v>10</v>
      </c>
      <c r="P4" s="5" t="s">
        <v>12</v>
      </c>
    </row>
    <row r="5" spans="1:16" x14ac:dyDescent="0.25">
      <c r="A5" s="9"/>
      <c r="B5" s="10" t="s">
        <v>13</v>
      </c>
      <c r="C5" s="10"/>
      <c r="D5" s="11">
        <f>D34+D39</f>
        <v>2450.7460000000001</v>
      </c>
      <c r="E5" s="12"/>
      <c r="F5" s="12">
        <f t="shared" ref="F5:P5" si="0">F34+F39</f>
        <v>19651188.858447228</v>
      </c>
      <c r="G5" s="12">
        <f>G34+G39</f>
        <v>6</v>
      </c>
      <c r="H5" s="12">
        <f t="shared" si="0"/>
        <v>166162.06</v>
      </c>
      <c r="I5" s="13">
        <f t="shared" si="0"/>
        <v>2251.1819999999998</v>
      </c>
      <c r="J5" s="12">
        <f>J34+J39</f>
        <v>4363588.5513599999</v>
      </c>
      <c r="K5" s="13">
        <f t="shared" si="0"/>
        <v>3</v>
      </c>
      <c r="L5" s="12">
        <f t="shared" si="0"/>
        <v>55249.89</v>
      </c>
      <c r="M5" s="13">
        <f t="shared" si="0"/>
        <v>189.964</v>
      </c>
      <c r="N5" s="12">
        <f t="shared" si="0"/>
        <v>15032779.738187231</v>
      </c>
      <c r="O5" s="13">
        <f t="shared" si="0"/>
        <v>0.6</v>
      </c>
      <c r="P5" s="12">
        <f t="shared" si="0"/>
        <v>33408.618900000001</v>
      </c>
    </row>
    <row r="6" spans="1:16" x14ac:dyDescent="0.25">
      <c r="A6" s="14"/>
      <c r="B6" s="15" t="s">
        <v>14</v>
      </c>
      <c r="C6" s="7"/>
      <c r="D6" s="7"/>
      <c r="E6" s="14"/>
      <c r="F6" s="8"/>
      <c r="G6" s="8"/>
      <c r="H6" s="8"/>
      <c r="I6" s="7"/>
      <c r="J6" s="5"/>
      <c r="K6" s="7"/>
      <c r="L6" s="5"/>
      <c r="M6" s="7"/>
      <c r="N6" s="5"/>
      <c r="O6" s="14"/>
      <c r="P6" s="14"/>
    </row>
    <row r="7" spans="1:16" ht="60" x14ac:dyDescent="0.25">
      <c r="A7" s="16">
        <v>1</v>
      </c>
      <c r="B7" s="17" t="s">
        <v>15</v>
      </c>
      <c r="C7" s="7" t="s">
        <v>16</v>
      </c>
      <c r="D7" s="18">
        <f>G7+I7+K7+M7+N7</f>
        <v>2000</v>
      </c>
      <c r="E7" s="19">
        <f t="shared" ref="E7:E33" si="1">F7/D7</f>
        <v>740.76</v>
      </c>
      <c r="F7" s="19">
        <f>H7+J7+L7+N7+P7</f>
        <v>1481520</v>
      </c>
      <c r="G7" s="18">
        <f>'[1]прил к распПГ'!G133</f>
        <v>0</v>
      </c>
      <c r="H7" s="19">
        <f>'[1]прил к распПГ'!I133</f>
        <v>0</v>
      </c>
      <c r="I7" s="18">
        <f>'[2]прил к расп'!H76</f>
        <v>2000</v>
      </c>
      <c r="J7" s="19">
        <f>'[2]прил к расп'!J76</f>
        <v>1481520</v>
      </c>
      <c r="K7" s="18">
        <f>'[1]прил к распПГ'!G266</f>
        <v>0</v>
      </c>
      <c r="L7" s="18">
        <f>'[1]прил к распПГ'!I266</f>
        <v>0</v>
      </c>
      <c r="M7" s="7"/>
      <c r="N7" s="19"/>
      <c r="O7" s="14"/>
      <c r="P7" s="14"/>
    </row>
    <row r="8" spans="1:16" ht="75" x14ac:dyDescent="0.25">
      <c r="A8" s="16">
        <v>2</v>
      </c>
      <c r="B8" s="17" t="s">
        <v>17</v>
      </c>
      <c r="C8" s="7" t="s">
        <v>16</v>
      </c>
      <c r="D8" s="18">
        <f t="shared" ref="D8:D33" si="2">G8+I8+K8+M8+N8</f>
        <v>22</v>
      </c>
      <c r="E8" s="19">
        <f t="shared" si="1"/>
        <v>33693.530909090907</v>
      </c>
      <c r="F8" s="19">
        <f t="shared" ref="F8:F33" si="3">H8+J8+L8+N8+P8</f>
        <v>741257.67999999993</v>
      </c>
      <c r="G8" s="18">
        <f>'[1]прил к распПГ'!G134</f>
        <v>0</v>
      </c>
      <c r="H8" s="19">
        <f>'[1]прил к распПГ'!I134</f>
        <v>0</v>
      </c>
      <c r="I8" s="18">
        <f>'[2]прил к расп'!H81</f>
        <v>22</v>
      </c>
      <c r="J8" s="19">
        <f>'[2]прил к расп'!J81</f>
        <v>741257.67999999993</v>
      </c>
      <c r="K8" s="18">
        <f>'[1]прил к распПГ'!G267</f>
        <v>0</v>
      </c>
      <c r="L8" s="18">
        <f>'[1]прил к распПГ'!I267</f>
        <v>0</v>
      </c>
      <c r="M8" s="7"/>
      <c r="N8" s="19"/>
      <c r="O8" s="14"/>
      <c r="P8" s="14"/>
    </row>
    <row r="9" spans="1:16" ht="30" x14ac:dyDescent="0.25">
      <c r="A9" s="16">
        <v>3</v>
      </c>
      <c r="B9" s="17" t="s">
        <v>18</v>
      </c>
      <c r="C9" s="7" t="s">
        <v>16</v>
      </c>
      <c r="D9" s="18">
        <f t="shared" si="2"/>
        <v>17</v>
      </c>
      <c r="E9" s="19">
        <f t="shared" si="1"/>
        <v>18565.690588235298</v>
      </c>
      <c r="F9" s="19">
        <f t="shared" si="3"/>
        <v>315616.74000000005</v>
      </c>
      <c r="G9" s="18">
        <f>'[2]прил к расп'!H72</f>
        <v>4</v>
      </c>
      <c r="H9" s="19">
        <f>'[2]прил к расп'!J72</f>
        <v>73666.52</v>
      </c>
      <c r="I9" s="18">
        <f>'[2]прил к расп'!H80</f>
        <v>10</v>
      </c>
      <c r="J9" s="19">
        <f>'[2]прил к расп'!J80</f>
        <v>186700.33000000002</v>
      </c>
      <c r="K9" s="18">
        <f>'[2]прил к расп'!H71</f>
        <v>3</v>
      </c>
      <c r="L9" s="20">
        <f>'[2]прил к расп'!J71</f>
        <v>55249.89</v>
      </c>
      <c r="M9" s="7"/>
      <c r="N9" s="19"/>
      <c r="O9" s="14"/>
      <c r="P9" s="14"/>
    </row>
    <row r="10" spans="1:16" ht="60" x14ac:dyDescent="0.25">
      <c r="A10" s="16">
        <v>4</v>
      </c>
      <c r="B10" s="17" t="s">
        <v>19</v>
      </c>
      <c r="C10" s="7" t="s">
        <v>16</v>
      </c>
      <c r="D10" s="18">
        <f t="shared" si="2"/>
        <v>7</v>
      </c>
      <c r="E10" s="19">
        <f t="shared" si="1"/>
        <v>48808.884285714288</v>
      </c>
      <c r="F10" s="19">
        <f t="shared" si="3"/>
        <v>341662.19</v>
      </c>
      <c r="G10" s="18">
        <f>'[2]прил к расп'!H73</f>
        <v>2</v>
      </c>
      <c r="H10" s="19">
        <f>'[2]прил к расп'!J73</f>
        <v>92495.54</v>
      </c>
      <c r="I10" s="18">
        <f>'[2]прил к расп'!H83</f>
        <v>5</v>
      </c>
      <c r="J10" s="19">
        <f>'[2]прил к расп'!J83</f>
        <v>249166.65000000002</v>
      </c>
      <c r="K10" s="18">
        <f>'[1]прил к распПГ'!G269</f>
        <v>0</v>
      </c>
      <c r="L10" s="18">
        <f>'[1]прил к распПГ'!I269</f>
        <v>0</v>
      </c>
      <c r="M10" s="7"/>
      <c r="N10" s="19"/>
      <c r="O10" s="14"/>
      <c r="P10" s="14"/>
    </row>
    <row r="11" spans="1:16" ht="30" x14ac:dyDescent="0.25">
      <c r="A11" s="16">
        <v>5</v>
      </c>
      <c r="B11" s="17" t="s">
        <v>20</v>
      </c>
      <c r="C11" s="7" t="s">
        <v>16</v>
      </c>
      <c r="D11" s="18">
        <f t="shared" si="2"/>
        <v>0</v>
      </c>
      <c r="E11" s="19" t="e">
        <f t="shared" si="1"/>
        <v>#DIV/0!</v>
      </c>
      <c r="F11" s="19">
        <f t="shared" si="3"/>
        <v>0</v>
      </c>
      <c r="G11" s="18">
        <f>'[1]прил к распПГ'!G137</f>
        <v>0</v>
      </c>
      <c r="H11" s="19">
        <f>'[1]прил к распПГ'!I137</f>
        <v>0</v>
      </c>
      <c r="I11" s="18">
        <f>'[1]прил к распПГ'!G171</f>
        <v>0</v>
      </c>
      <c r="J11" s="19">
        <f>'[1]прил к распПГ'!I171</f>
        <v>0</v>
      </c>
      <c r="K11" s="18">
        <f>'[1]прил к распПГ'!G270</f>
        <v>0</v>
      </c>
      <c r="L11" s="18">
        <f>'[1]прил к распПГ'!I270</f>
        <v>0</v>
      </c>
      <c r="M11" s="17"/>
      <c r="N11" s="17"/>
      <c r="O11" s="14"/>
      <c r="P11" s="14"/>
    </row>
    <row r="12" spans="1:16" ht="45" x14ac:dyDescent="0.25">
      <c r="A12" s="16">
        <v>6</v>
      </c>
      <c r="B12" s="17" t="s">
        <v>21</v>
      </c>
      <c r="C12" s="7" t="s">
        <v>16</v>
      </c>
      <c r="D12" s="18">
        <f t="shared" si="2"/>
        <v>2</v>
      </c>
      <c r="E12" s="19">
        <f t="shared" si="1"/>
        <v>452666.67</v>
      </c>
      <c r="F12" s="19">
        <f t="shared" si="3"/>
        <v>905333.34</v>
      </c>
      <c r="G12" s="18">
        <f>'[1]прил к распПГ'!G138</f>
        <v>0</v>
      </c>
      <c r="H12" s="19">
        <f>'[1]прил к распПГ'!I138</f>
        <v>0</v>
      </c>
      <c r="I12" s="18">
        <f>'[2]прил к расп'!H79</f>
        <v>2</v>
      </c>
      <c r="J12" s="19">
        <f>'[2]прил к расп'!J79</f>
        <v>905333.34</v>
      </c>
      <c r="K12" s="18">
        <f>'[1]прил к распПГ'!G271</f>
        <v>0</v>
      </c>
      <c r="L12" s="18">
        <f>'[1]прил к распПГ'!I271</f>
        <v>0</v>
      </c>
      <c r="M12" s="17"/>
      <c r="N12" s="17"/>
      <c r="O12" s="14"/>
      <c r="P12" s="14"/>
    </row>
    <row r="13" spans="1:16" x14ac:dyDescent="0.25">
      <c r="A13" s="16">
        <v>7</v>
      </c>
      <c r="B13" s="17" t="s">
        <v>22</v>
      </c>
      <c r="C13" s="7" t="s">
        <v>16</v>
      </c>
      <c r="D13" s="18">
        <f t="shared" si="2"/>
        <v>0</v>
      </c>
      <c r="E13" s="19" t="e">
        <f t="shared" si="1"/>
        <v>#DIV/0!</v>
      </c>
      <c r="F13" s="19">
        <f t="shared" si="3"/>
        <v>0</v>
      </c>
      <c r="G13" s="18">
        <f>'[1]прил к распПГ'!G139</f>
        <v>0</v>
      </c>
      <c r="H13" s="19">
        <f>'[1]прил к распПГ'!I139</f>
        <v>0</v>
      </c>
      <c r="I13" s="18">
        <f>'[1]прил к распПГ'!G173</f>
        <v>0</v>
      </c>
      <c r="J13" s="19">
        <f>'[1]прил к распПГ'!I173</f>
        <v>0</v>
      </c>
      <c r="K13" s="18">
        <f>'[1]прил к распПГ'!G272</f>
        <v>0</v>
      </c>
      <c r="L13" s="18">
        <f>'[1]прил к распПГ'!I272</f>
        <v>0</v>
      </c>
      <c r="M13" s="17"/>
      <c r="N13" s="17"/>
      <c r="O13" s="14"/>
      <c r="P13" s="14"/>
    </row>
    <row r="14" spans="1:16" x14ac:dyDescent="0.25">
      <c r="A14" s="16">
        <v>8</v>
      </c>
      <c r="B14" s="17" t="s">
        <v>23</v>
      </c>
      <c r="C14" s="7" t="s">
        <v>16</v>
      </c>
      <c r="D14" s="18">
        <f t="shared" si="2"/>
        <v>0</v>
      </c>
      <c r="E14" s="19" t="e">
        <f t="shared" si="1"/>
        <v>#DIV/0!</v>
      </c>
      <c r="F14" s="19">
        <f t="shared" si="3"/>
        <v>0</v>
      </c>
      <c r="G14" s="18">
        <f>'[1]прил к распПГ'!G140</f>
        <v>0</v>
      </c>
      <c r="H14" s="19">
        <f>'[1]прил к распПГ'!I140</f>
        <v>0</v>
      </c>
      <c r="I14" s="18">
        <f>'[1]прил к распПГ'!G174</f>
        <v>0</v>
      </c>
      <c r="J14" s="19">
        <f>'[1]прил к распПГ'!I174</f>
        <v>0</v>
      </c>
      <c r="K14" s="18">
        <f>'[1]прил к распПГ'!G273</f>
        <v>0</v>
      </c>
      <c r="L14" s="18">
        <f>'[1]прил к распПГ'!I273</f>
        <v>0</v>
      </c>
      <c r="M14" s="17"/>
      <c r="N14" s="17"/>
      <c r="O14" s="14"/>
      <c r="P14" s="14"/>
    </row>
    <row r="15" spans="1:16" x14ac:dyDescent="0.25">
      <c r="A15" s="16">
        <v>9</v>
      </c>
      <c r="B15" s="17" t="s">
        <v>24</v>
      </c>
      <c r="C15" s="7" t="s">
        <v>16</v>
      </c>
      <c r="D15" s="18">
        <f t="shared" si="2"/>
        <v>0</v>
      </c>
      <c r="E15" s="19" t="e">
        <f t="shared" si="1"/>
        <v>#DIV/0!</v>
      </c>
      <c r="F15" s="19">
        <f t="shared" si="3"/>
        <v>0</v>
      </c>
      <c r="G15" s="18">
        <f>'[1]прил к распПГ'!G141</f>
        <v>0</v>
      </c>
      <c r="H15" s="19">
        <f>'[1]прил к распПГ'!I141</f>
        <v>0</v>
      </c>
      <c r="I15" s="18">
        <f>'[1]прил к распПГ'!G175</f>
        <v>0</v>
      </c>
      <c r="J15" s="19">
        <f>'[1]прил к распПГ'!I175</f>
        <v>0</v>
      </c>
      <c r="K15" s="18">
        <f>'[1]прил к распПГ'!G274</f>
        <v>0</v>
      </c>
      <c r="L15" s="18">
        <f>'[1]прил к распПГ'!I274</f>
        <v>0</v>
      </c>
      <c r="M15" s="17"/>
      <c r="N15" s="17"/>
      <c r="O15" s="14"/>
      <c r="P15" s="14"/>
    </row>
    <row r="16" spans="1:16" x14ac:dyDescent="0.25">
      <c r="A16" s="16">
        <v>10</v>
      </c>
      <c r="B16" s="17" t="s">
        <v>25</v>
      </c>
      <c r="C16" s="7" t="s">
        <v>16</v>
      </c>
      <c r="D16" s="18">
        <f t="shared" si="2"/>
        <v>0</v>
      </c>
      <c r="E16" s="19" t="e">
        <f t="shared" si="1"/>
        <v>#DIV/0!</v>
      </c>
      <c r="F16" s="19">
        <f t="shared" si="3"/>
        <v>0</v>
      </c>
      <c r="G16" s="18">
        <f>'[1]прил к распПГ'!G142</f>
        <v>0</v>
      </c>
      <c r="H16" s="19">
        <f>'[1]прил к распПГ'!I142</f>
        <v>0</v>
      </c>
      <c r="I16" s="18">
        <f>'[1]прил к распПГ'!G176</f>
        <v>0</v>
      </c>
      <c r="J16" s="19">
        <f>'[1]прил к распПГ'!I176</f>
        <v>0</v>
      </c>
      <c r="K16" s="18">
        <f>'[1]прил к распПГ'!G275</f>
        <v>0</v>
      </c>
      <c r="L16" s="18">
        <f>'[1]прил к распПГ'!I275</f>
        <v>0</v>
      </c>
      <c r="M16" s="17"/>
      <c r="N16" s="17"/>
      <c r="O16" s="14"/>
      <c r="P16" s="14"/>
    </row>
    <row r="17" spans="1:16" x14ac:dyDescent="0.25">
      <c r="A17" s="16">
        <v>11</v>
      </c>
      <c r="B17" s="17" t="s">
        <v>26</v>
      </c>
      <c r="C17" s="7" t="s">
        <v>16</v>
      </c>
      <c r="D17" s="18">
        <f t="shared" si="2"/>
        <v>0</v>
      </c>
      <c r="E17" s="19" t="e">
        <f t="shared" si="1"/>
        <v>#DIV/0!</v>
      </c>
      <c r="F17" s="19">
        <f t="shared" si="3"/>
        <v>0</v>
      </c>
      <c r="G17" s="18">
        <f>'[1]прил к распПГ'!G143</f>
        <v>0</v>
      </c>
      <c r="H17" s="19">
        <f>'[1]прил к распПГ'!I143</f>
        <v>0</v>
      </c>
      <c r="I17" s="18">
        <f>'[1]прил к распПГ'!G177</f>
        <v>0</v>
      </c>
      <c r="J17" s="19">
        <f>'[1]прил к распПГ'!I177</f>
        <v>0</v>
      </c>
      <c r="K17" s="18">
        <f>'[1]прил к распПГ'!G276</f>
        <v>0</v>
      </c>
      <c r="L17" s="18">
        <f>'[1]прил к распПГ'!I276</f>
        <v>0</v>
      </c>
      <c r="M17" s="17"/>
      <c r="N17" s="17"/>
      <c r="O17" s="14"/>
      <c r="P17" s="14"/>
    </row>
    <row r="18" spans="1:16" ht="30" x14ac:dyDescent="0.25">
      <c r="A18" s="16">
        <v>12</v>
      </c>
      <c r="B18" s="17" t="s">
        <v>27</v>
      </c>
      <c r="C18" s="7" t="s">
        <v>16</v>
      </c>
      <c r="D18" s="18">
        <f t="shared" si="2"/>
        <v>0</v>
      </c>
      <c r="E18" s="19" t="e">
        <f t="shared" si="1"/>
        <v>#DIV/0!</v>
      </c>
      <c r="F18" s="19">
        <f t="shared" si="3"/>
        <v>0</v>
      </c>
      <c r="G18" s="18">
        <f>'[1]прил к распПГ'!G144</f>
        <v>0</v>
      </c>
      <c r="H18" s="19">
        <f>'[1]прил к распПГ'!I144</f>
        <v>0</v>
      </c>
      <c r="I18" s="18">
        <f>'[1]прил к распПГ'!G178</f>
        <v>0</v>
      </c>
      <c r="J18" s="19">
        <f>'[1]прил к распПГ'!I178</f>
        <v>0</v>
      </c>
      <c r="K18" s="18">
        <f>'[1]прил к распПГ'!G277</f>
        <v>0</v>
      </c>
      <c r="L18" s="18">
        <f>'[1]прил к распПГ'!I277</f>
        <v>0</v>
      </c>
      <c r="M18" s="17"/>
      <c r="N18" s="17"/>
      <c r="O18" s="14"/>
      <c r="P18" s="14"/>
    </row>
    <row r="19" spans="1:16" ht="30" x14ac:dyDescent="0.25">
      <c r="A19" s="16">
        <v>13</v>
      </c>
      <c r="B19" s="17" t="s">
        <v>28</v>
      </c>
      <c r="C19" s="7" t="s">
        <v>16</v>
      </c>
      <c r="D19" s="18">
        <f t="shared" si="2"/>
        <v>0</v>
      </c>
      <c r="E19" s="19" t="e">
        <f t="shared" si="1"/>
        <v>#DIV/0!</v>
      </c>
      <c r="F19" s="19">
        <f t="shared" si="3"/>
        <v>0</v>
      </c>
      <c r="G19" s="18">
        <f>'[1]прил к распПГ'!G145</f>
        <v>0</v>
      </c>
      <c r="H19" s="19">
        <f>'[1]прил к распПГ'!I145</f>
        <v>0</v>
      </c>
      <c r="I19" s="18">
        <f>'[1]прил к распПГ'!G179</f>
        <v>0</v>
      </c>
      <c r="J19" s="19">
        <f>'[1]прил к распПГ'!I179</f>
        <v>0</v>
      </c>
      <c r="K19" s="18">
        <f>'[1]прил к распПГ'!G278</f>
        <v>0</v>
      </c>
      <c r="L19" s="18">
        <f>'[1]прил к распПГ'!I278</f>
        <v>0</v>
      </c>
      <c r="M19" s="17"/>
      <c r="N19" s="17"/>
      <c r="O19" s="14"/>
      <c r="P19" s="14"/>
    </row>
    <row r="20" spans="1:16" x14ac:dyDescent="0.25">
      <c r="A20" s="16">
        <v>14</v>
      </c>
      <c r="B20" s="17" t="s">
        <v>29</v>
      </c>
      <c r="C20" s="7" t="s">
        <v>16</v>
      </c>
      <c r="D20" s="18">
        <f t="shared" si="2"/>
        <v>0</v>
      </c>
      <c r="E20" s="19" t="e">
        <f t="shared" si="1"/>
        <v>#DIV/0!</v>
      </c>
      <c r="F20" s="19">
        <f t="shared" si="3"/>
        <v>0</v>
      </c>
      <c r="G20" s="18">
        <f>'[1]прил к распПГ'!G146</f>
        <v>0</v>
      </c>
      <c r="H20" s="19">
        <f>'[1]прил к распПГ'!I146</f>
        <v>0</v>
      </c>
      <c r="I20" s="18">
        <f>'[1]прил к распПГ'!G180</f>
        <v>0</v>
      </c>
      <c r="J20" s="19">
        <f>'[1]прил к распПГ'!I180</f>
        <v>0</v>
      </c>
      <c r="K20" s="18">
        <f>'[1]прил к распПГ'!G279</f>
        <v>0</v>
      </c>
      <c r="L20" s="18">
        <f>'[1]прил к распПГ'!I279</f>
        <v>0</v>
      </c>
      <c r="M20" s="17"/>
      <c r="N20" s="17"/>
      <c r="O20" s="14"/>
      <c r="P20" s="14"/>
    </row>
    <row r="21" spans="1:16" ht="30" x14ac:dyDescent="0.25">
      <c r="A21" s="16">
        <v>15</v>
      </c>
      <c r="B21" s="17" t="s">
        <v>30</v>
      </c>
      <c r="C21" s="7" t="s">
        <v>16</v>
      </c>
      <c r="D21" s="18">
        <f t="shared" si="2"/>
        <v>5</v>
      </c>
      <c r="E21" s="19">
        <f t="shared" si="1"/>
        <v>6182.0339999999997</v>
      </c>
      <c r="F21" s="19">
        <f t="shared" si="3"/>
        <v>30910.17</v>
      </c>
      <c r="G21" s="18">
        <f>'[1]прил к распПГ'!G147</f>
        <v>0</v>
      </c>
      <c r="H21" s="19">
        <f>'[1]прил к распПГ'!I147</f>
        <v>0</v>
      </c>
      <c r="I21" s="18">
        <f>'[2]прил к расп'!H85</f>
        <v>5</v>
      </c>
      <c r="J21" s="19">
        <f>'[2]прил к расп'!J85</f>
        <v>30910.17</v>
      </c>
      <c r="K21" s="18">
        <f>'[1]прил к распПГ'!G280</f>
        <v>0</v>
      </c>
      <c r="L21" s="18">
        <f>'[1]прил к распПГ'!I280</f>
        <v>0</v>
      </c>
      <c r="M21" s="17"/>
      <c r="N21" s="17"/>
      <c r="O21" s="14"/>
      <c r="P21" s="14"/>
    </row>
    <row r="22" spans="1:16" ht="75" x14ac:dyDescent="0.25">
      <c r="A22" s="16">
        <v>16</v>
      </c>
      <c r="B22" s="17" t="s">
        <v>31</v>
      </c>
      <c r="C22" s="7" t="s">
        <v>16</v>
      </c>
      <c r="D22" s="18">
        <f t="shared" si="2"/>
        <v>0</v>
      </c>
      <c r="E22" s="19" t="e">
        <f t="shared" si="1"/>
        <v>#DIV/0!</v>
      </c>
      <c r="F22" s="19">
        <f t="shared" si="3"/>
        <v>0</v>
      </c>
      <c r="G22" s="18">
        <f>'[1]прил к распПГ'!G148</f>
        <v>0</v>
      </c>
      <c r="H22" s="19">
        <f>'[1]прил к распПГ'!I148</f>
        <v>0</v>
      </c>
      <c r="I22" s="18">
        <f>'[1]прил к распПГ'!G182</f>
        <v>0</v>
      </c>
      <c r="J22" s="19">
        <f>'[1]прил к распПГ'!I182</f>
        <v>0</v>
      </c>
      <c r="K22" s="18">
        <f>'[1]прил к распПГ'!G281</f>
        <v>0</v>
      </c>
      <c r="L22" s="18">
        <f>'[1]прил к распПГ'!I281</f>
        <v>0</v>
      </c>
      <c r="M22" s="17"/>
      <c r="N22" s="17"/>
      <c r="O22" s="14"/>
      <c r="P22" s="14"/>
    </row>
    <row r="23" spans="1:16" ht="60" x14ac:dyDescent="0.25">
      <c r="A23" s="16">
        <v>17</v>
      </c>
      <c r="B23" s="17" t="s">
        <v>32</v>
      </c>
      <c r="C23" s="7" t="s">
        <v>16</v>
      </c>
      <c r="D23" s="18">
        <f t="shared" si="2"/>
        <v>0</v>
      </c>
      <c r="E23" s="19" t="e">
        <f t="shared" si="1"/>
        <v>#DIV/0!</v>
      </c>
      <c r="F23" s="19">
        <f t="shared" si="3"/>
        <v>0</v>
      </c>
      <c r="G23" s="18">
        <f>'[1]прил к распПГ'!G149</f>
        <v>0</v>
      </c>
      <c r="H23" s="19">
        <f>'[1]прил к распПГ'!I149</f>
        <v>0</v>
      </c>
      <c r="I23" s="18">
        <f>'[1]прил к распПГ'!G183</f>
        <v>0</v>
      </c>
      <c r="J23" s="19">
        <f>'[1]прил к распПГ'!I183</f>
        <v>0</v>
      </c>
      <c r="K23" s="18">
        <f>'[1]прил к распПГ'!G282</f>
        <v>0</v>
      </c>
      <c r="L23" s="18">
        <f>'[1]прил к распПГ'!I282</f>
        <v>0</v>
      </c>
      <c r="M23" s="17"/>
      <c r="N23" s="17"/>
      <c r="O23" s="14"/>
      <c r="P23" s="14"/>
    </row>
    <row r="24" spans="1:16" ht="45" x14ac:dyDescent="0.25">
      <c r="A24" s="16">
        <v>18</v>
      </c>
      <c r="B24" s="17" t="s">
        <v>33</v>
      </c>
      <c r="C24" s="7" t="s">
        <v>16</v>
      </c>
      <c r="D24" s="18">
        <f t="shared" si="2"/>
        <v>0</v>
      </c>
      <c r="E24" s="19" t="e">
        <f t="shared" si="1"/>
        <v>#DIV/0!</v>
      </c>
      <c r="F24" s="19">
        <f t="shared" si="3"/>
        <v>0</v>
      </c>
      <c r="G24" s="18">
        <f>'[1]прил к распПГ'!G150</f>
        <v>0</v>
      </c>
      <c r="H24" s="19">
        <f>'[1]прил к распПГ'!I150</f>
        <v>0</v>
      </c>
      <c r="I24" s="18">
        <f>'[1]прил к распПГ'!G184</f>
        <v>0</v>
      </c>
      <c r="J24" s="19">
        <f>'[1]прил к распПГ'!I184</f>
        <v>0</v>
      </c>
      <c r="K24" s="18">
        <f>'[1]прил к распПГ'!G283</f>
        <v>0</v>
      </c>
      <c r="L24" s="18">
        <f>'[1]прил к распПГ'!I283</f>
        <v>0</v>
      </c>
      <c r="M24" s="17"/>
      <c r="N24" s="17"/>
      <c r="O24" s="14"/>
      <c r="P24" s="14"/>
    </row>
    <row r="25" spans="1:16" x14ac:dyDescent="0.25">
      <c r="A25" s="16">
        <v>19</v>
      </c>
      <c r="B25" s="17" t="s">
        <v>34</v>
      </c>
      <c r="C25" s="7" t="s">
        <v>16</v>
      </c>
      <c r="D25" s="18">
        <f t="shared" si="2"/>
        <v>0</v>
      </c>
      <c r="E25" s="19" t="e">
        <f t="shared" si="1"/>
        <v>#DIV/0!</v>
      </c>
      <c r="F25" s="19">
        <f t="shared" si="3"/>
        <v>0</v>
      </c>
      <c r="G25" s="18">
        <f>'[1]прил к распПГ'!G151</f>
        <v>0</v>
      </c>
      <c r="H25" s="19">
        <f>'[1]прил к распПГ'!I151</f>
        <v>0</v>
      </c>
      <c r="I25" s="18">
        <f>'[1]прил к распПГ'!G185</f>
        <v>0</v>
      </c>
      <c r="J25" s="19">
        <f>'[1]прил к распПГ'!I185</f>
        <v>0</v>
      </c>
      <c r="K25" s="18">
        <f>'[1]прил к распПГ'!G284</f>
        <v>0</v>
      </c>
      <c r="L25" s="18">
        <f>'[1]прил к распПГ'!I284</f>
        <v>0</v>
      </c>
      <c r="M25" s="17"/>
      <c r="N25" s="17"/>
      <c r="O25" s="14"/>
      <c r="P25" s="14"/>
    </row>
    <row r="26" spans="1:16" ht="60" x14ac:dyDescent="0.25">
      <c r="A26" s="16">
        <v>20</v>
      </c>
      <c r="B26" s="17" t="s">
        <v>35</v>
      </c>
      <c r="C26" s="7" t="s">
        <v>16</v>
      </c>
      <c r="D26" s="18">
        <f t="shared" si="2"/>
        <v>0</v>
      </c>
      <c r="E26" s="19" t="e">
        <f t="shared" si="1"/>
        <v>#DIV/0!</v>
      </c>
      <c r="F26" s="19">
        <f t="shared" si="3"/>
        <v>0</v>
      </c>
      <c r="G26" s="18">
        <f>'[1]прил к распПГ'!G152</f>
        <v>0</v>
      </c>
      <c r="H26" s="19">
        <f>'[1]прил к распПГ'!I152</f>
        <v>0</v>
      </c>
      <c r="I26" s="18">
        <f>'[1]прил к распПГ'!G186</f>
        <v>0</v>
      </c>
      <c r="J26" s="19">
        <f>'[1]прил к распПГ'!I186</f>
        <v>0</v>
      </c>
      <c r="K26" s="18">
        <f>'[1]прил к распПГ'!G285</f>
        <v>0</v>
      </c>
      <c r="L26" s="18">
        <f>'[1]прил к распПГ'!I285</f>
        <v>0</v>
      </c>
      <c r="M26" s="17"/>
      <c r="N26" s="17"/>
      <c r="O26" s="14"/>
      <c r="P26" s="14"/>
    </row>
    <row r="27" spans="1:16" ht="90" x14ac:dyDescent="0.25">
      <c r="A27" s="16">
        <v>21</v>
      </c>
      <c r="B27" s="17" t="s">
        <v>36</v>
      </c>
      <c r="C27" s="7" t="s">
        <v>16</v>
      </c>
      <c r="D27" s="18">
        <f t="shared" si="2"/>
        <v>0</v>
      </c>
      <c r="E27" s="19" t="e">
        <f t="shared" si="1"/>
        <v>#DIV/0!</v>
      </c>
      <c r="F27" s="19">
        <f t="shared" si="3"/>
        <v>0</v>
      </c>
      <c r="G27" s="18">
        <f>'[1]прил к распПГ'!G153</f>
        <v>0</v>
      </c>
      <c r="H27" s="19">
        <f>'[1]прил к распПГ'!I153</f>
        <v>0</v>
      </c>
      <c r="I27" s="18">
        <f>'[1]прил к распПГ'!G187</f>
        <v>0</v>
      </c>
      <c r="J27" s="19">
        <f>'[1]прил к распПГ'!I187</f>
        <v>0</v>
      </c>
      <c r="K27" s="18">
        <f>'[1]прил к распПГ'!G286</f>
        <v>0</v>
      </c>
      <c r="L27" s="18">
        <f>'[1]прил к распПГ'!I286</f>
        <v>0</v>
      </c>
      <c r="M27" s="17"/>
      <c r="N27" s="17"/>
      <c r="O27" s="14"/>
      <c r="P27" s="14"/>
    </row>
    <row r="28" spans="1:16" x14ac:dyDescent="0.25">
      <c r="A28" s="16">
        <v>22</v>
      </c>
      <c r="B28" s="17" t="s">
        <v>37</v>
      </c>
      <c r="C28" s="7" t="s">
        <v>16</v>
      </c>
      <c r="D28" s="18">
        <f t="shared" si="2"/>
        <v>3</v>
      </c>
      <c r="E28" s="19">
        <f t="shared" si="1"/>
        <v>92105.553333333344</v>
      </c>
      <c r="F28" s="19">
        <f t="shared" si="3"/>
        <v>276316.66000000003</v>
      </c>
      <c r="G28" s="18">
        <f>'[1]прил к распПГ'!G154</f>
        <v>0</v>
      </c>
      <c r="H28" s="19">
        <f>'[1]прил к распПГ'!I154</f>
        <v>0</v>
      </c>
      <c r="I28" s="18">
        <f>'[2]прил к расп'!H77+'[2]прил к расп'!H78</f>
        <v>3</v>
      </c>
      <c r="J28" s="19">
        <f>'[2]прил к расп'!J77+'[2]прил к расп'!J78</f>
        <v>276316.66000000003</v>
      </c>
      <c r="K28" s="18">
        <f>'[1]прил к распПГ'!G287</f>
        <v>0</v>
      </c>
      <c r="L28" s="18">
        <f>'[1]прил к распПГ'!I287</f>
        <v>0</v>
      </c>
      <c r="M28" s="17"/>
      <c r="N28" s="17"/>
      <c r="O28" s="14"/>
      <c r="P28" s="14"/>
    </row>
    <row r="29" spans="1:16" ht="45" x14ac:dyDescent="0.25">
      <c r="A29" s="16">
        <v>23</v>
      </c>
      <c r="B29" s="17" t="s">
        <v>38</v>
      </c>
      <c r="C29" s="7" t="s">
        <v>16</v>
      </c>
      <c r="D29" s="18">
        <f t="shared" si="2"/>
        <v>0</v>
      </c>
      <c r="E29" s="19" t="e">
        <f t="shared" si="1"/>
        <v>#DIV/0!</v>
      </c>
      <c r="F29" s="19">
        <f t="shared" si="3"/>
        <v>0</v>
      </c>
      <c r="G29" s="18">
        <f>'[1]прил к распПГ'!G155</f>
        <v>0</v>
      </c>
      <c r="H29" s="19">
        <f>'[1]прил к распПГ'!I155</f>
        <v>0</v>
      </c>
      <c r="I29" s="18">
        <f>'[1]прил к распПГ'!G189</f>
        <v>0</v>
      </c>
      <c r="J29" s="19">
        <f>'[1]прил к распПГ'!I189</f>
        <v>0</v>
      </c>
      <c r="K29" s="18">
        <f>'[1]прил к распПГ'!G288</f>
        <v>0</v>
      </c>
      <c r="L29" s="18">
        <f>'[1]прил к распПГ'!I288</f>
        <v>0</v>
      </c>
      <c r="M29" s="17"/>
      <c r="N29" s="17"/>
      <c r="O29" s="14"/>
      <c r="P29" s="14"/>
    </row>
    <row r="30" spans="1:16" ht="45" x14ac:dyDescent="0.25">
      <c r="A30" s="16">
        <v>24</v>
      </c>
      <c r="B30" s="17" t="s">
        <v>39</v>
      </c>
      <c r="C30" s="7" t="s">
        <v>16</v>
      </c>
      <c r="D30" s="18">
        <f t="shared" si="2"/>
        <v>2</v>
      </c>
      <c r="E30" s="19">
        <f t="shared" si="1"/>
        <v>10111.34</v>
      </c>
      <c r="F30" s="19">
        <f t="shared" si="3"/>
        <v>20222.68</v>
      </c>
      <c r="G30" s="18">
        <f>'[1]прил к распПГ'!G156</f>
        <v>0</v>
      </c>
      <c r="H30" s="19">
        <f>'[1]прил к распПГ'!I156</f>
        <v>0</v>
      </c>
      <c r="I30" s="18">
        <f>'[2]прил к расп'!H84</f>
        <v>2</v>
      </c>
      <c r="J30" s="19">
        <f>'[2]прил к расп'!J84</f>
        <v>20222.68</v>
      </c>
      <c r="K30" s="18">
        <f>'[1]прил к распПГ'!G289</f>
        <v>0</v>
      </c>
      <c r="L30" s="18">
        <f>'[1]прил к распПГ'!I289</f>
        <v>0</v>
      </c>
      <c r="M30" s="17"/>
      <c r="N30" s="17"/>
      <c r="O30" s="14"/>
      <c r="P30" s="14"/>
    </row>
    <row r="31" spans="1:16" ht="60" x14ac:dyDescent="0.25">
      <c r="A31" s="16">
        <v>25</v>
      </c>
      <c r="B31" s="17" t="s">
        <v>40</v>
      </c>
      <c r="C31" s="7" t="s">
        <v>16</v>
      </c>
      <c r="D31" s="18">
        <f t="shared" si="2"/>
        <v>200</v>
      </c>
      <c r="E31" s="19">
        <f t="shared" si="1"/>
        <v>1950</v>
      </c>
      <c r="F31" s="19">
        <f t="shared" si="3"/>
        <v>390000</v>
      </c>
      <c r="G31" s="18">
        <f>'[1]прил к распПГ'!G157</f>
        <v>0</v>
      </c>
      <c r="H31" s="19">
        <f>'[1]прил к распПГ'!I157</f>
        <v>0</v>
      </c>
      <c r="I31" s="18">
        <f>'[2]прил к расп'!H82</f>
        <v>200</v>
      </c>
      <c r="J31" s="19">
        <f>'[2]прил к расп'!J82</f>
        <v>390000</v>
      </c>
      <c r="K31" s="18">
        <f>'[1]прил к распПГ'!G290</f>
        <v>0</v>
      </c>
      <c r="L31" s="18">
        <f>'[1]прил к распПГ'!I290</f>
        <v>0</v>
      </c>
      <c r="M31" s="17"/>
      <c r="N31" s="17"/>
      <c r="O31" s="14"/>
      <c r="P31" s="14"/>
    </row>
    <row r="32" spans="1:16" ht="60" x14ac:dyDescent="0.25">
      <c r="A32" s="16">
        <v>26</v>
      </c>
      <c r="B32" s="17" t="s">
        <v>41</v>
      </c>
      <c r="C32" s="7" t="s">
        <v>16</v>
      </c>
      <c r="D32" s="18">
        <f t="shared" si="2"/>
        <v>0</v>
      </c>
      <c r="E32" s="19" t="e">
        <f t="shared" si="1"/>
        <v>#DIV/0!</v>
      </c>
      <c r="F32" s="19">
        <f t="shared" si="3"/>
        <v>0</v>
      </c>
      <c r="G32" s="18">
        <f>'[1]прил к распПГ'!G158</f>
        <v>0</v>
      </c>
      <c r="H32" s="19">
        <f>'[1]прил к распПГ'!I158</f>
        <v>0</v>
      </c>
      <c r="I32" s="18">
        <f>'[1]прил к распПГ'!G192</f>
        <v>0</v>
      </c>
      <c r="J32" s="19">
        <f>'[1]прил к распПГ'!I192</f>
        <v>0</v>
      </c>
      <c r="K32" s="18">
        <f>'[1]прил к распПГ'!G291</f>
        <v>0</v>
      </c>
      <c r="L32" s="18">
        <f>'[1]прил к распПГ'!I291</f>
        <v>0</v>
      </c>
      <c r="M32" s="17"/>
      <c r="N32" s="17"/>
      <c r="O32" s="14"/>
      <c r="P32" s="14"/>
    </row>
    <row r="33" spans="1:16" ht="75" x14ac:dyDescent="0.25">
      <c r="A33" s="16">
        <v>27</v>
      </c>
      <c r="B33" s="17" t="s">
        <v>42</v>
      </c>
      <c r="C33" s="7" t="s">
        <v>16</v>
      </c>
      <c r="D33" s="18">
        <f t="shared" si="2"/>
        <v>0</v>
      </c>
      <c r="E33" s="19" t="e">
        <f t="shared" si="1"/>
        <v>#DIV/0!</v>
      </c>
      <c r="F33" s="19">
        <f t="shared" si="3"/>
        <v>0</v>
      </c>
      <c r="G33" s="18">
        <f>'[1]прил к распПГ'!G159</f>
        <v>0</v>
      </c>
      <c r="H33" s="19">
        <f>'[1]прил к распПГ'!I159</f>
        <v>0</v>
      </c>
      <c r="I33" s="18">
        <f>'[1]прил к распПГ'!G193</f>
        <v>0</v>
      </c>
      <c r="J33" s="19">
        <f>'[1]прил к распПГ'!I193</f>
        <v>0</v>
      </c>
      <c r="K33" s="18">
        <f>'[1]прил к распПГ'!G292</f>
        <v>0</v>
      </c>
      <c r="L33" s="18">
        <f>'[1]прил к распПГ'!I292</f>
        <v>0</v>
      </c>
      <c r="M33" s="17"/>
      <c r="N33" s="17"/>
      <c r="O33" s="14"/>
      <c r="P33" s="14"/>
    </row>
    <row r="34" spans="1:16" x14ac:dyDescent="0.25">
      <c r="A34" s="14"/>
      <c r="B34" s="21" t="s">
        <v>43</v>
      </c>
      <c r="C34" s="21"/>
      <c r="D34" s="22">
        <f>SUM(D7:D33)</f>
        <v>2258</v>
      </c>
      <c r="E34" s="23"/>
      <c r="F34" s="23">
        <f>SUM(F7:F33)</f>
        <v>4502839.46</v>
      </c>
      <c r="G34" s="22">
        <f t="shared" ref="G34:P34" si="4">SUM(G7:G33)</f>
        <v>6</v>
      </c>
      <c r="H34" s="23">
        <f t="shared" si="4"/>
        <v>166162.06</v>
      </c>
      <c r="I34" s="22">
        <f t="shared" si="4"/>
        <v>2249</v>
      </c>
      <c r="J34" s="23">
        <f t="shared" si="4"/>
        <v>4281427.51</v>
      </c>
      <c r="K34" s="22">
        <f t="shared" si="4"/>
        <v>3</v>
      </c>
      <c r="L34" s="23">
        <f t="shared" si="4"/>
        <v>55249.89</v>
      </c>
      <c r="M34" s="22">
        <f t="shared" si="4"/>
        <v>0</v>
      </c>
      <c r="N34" s="23">
        <f t="shared" si="4"/>
        <v>0</v>
      </c>
      <c r="O34" s="23">
        <f t="shared" si="4"/>
        <v>0</v>
      </c>
      <c r="P34" s="23">
        <f t="shared" si="4"/>
        <v>0</v>
      </c>
    </row>
    <row r="35" spans="1:16" x14ac:dyDescent="0.25">
      <c r="A35" s="14"/>
      <c r="B35" s="24" t="s">
        <v>44</v>
      </c>
      <c r="C35" s="7"/>
      <c r="D35" s="6"/>
      <c r="E35" s="14"/>
      <c r="F35" s="6"/>
      <c r="G35" s="7"/>
      <c r="H35" s="6"/>
      <c r="I35" s="7"/>
      <c r="J35" s="6"/>
      <c r="K35" s="7"/>
      <c r="L35" s="6"/>
      <c r="M35" s="7"/>
      <c r="N35" s="6"/>
      <c r="O35" s="14"/>
      <c r="P35" s="14"/>
    </row>
    <row r="36" spans="1:16" x14ac:dyDescent="0.25">
      <c r="A36" s="16">
        <v>1</v>
      </c>
      <c r="B36" s="6" t="s">
        <v>45</v>
      </c>
      <c r="C36" s="7" t="s">
        <v>46</v>
      </c>
      <c r="D36" s="25">
        <f>I36+K36+M36+O36+G36</f>
        <v>185.75</v>
      </c>
      <c r="E36" s="19">
        <f>F36/D36</f>
        <v>79644.824176167283</v>
      </c>
      <c r="F36" s="19">
        <f>J36+L36+N36+P36+H36</f>
        <v>14794026.090723073</v>
      </c>
      <c r="G36" s="20"/>
      <c r="H36" s="26"/>
      <c r="I36" s="25">
        <f>'[1]прил к распПГ'!G231</f>
        <v>0</v>
      </c>
      <c r="J36" s="20">
        <f>'[1]прил к распПГ'!I231</f>
        <v>0</v>
      </c>
      <c r="K36" s="25">
        <f>'[1]прил к распПГ'!G264</f>
        <v>0</v>
      </c>
      <c r="L36" s="19">
        <f>'[1]прил к распПГ'!I264</f>
        <v>0</v>
      </c>
      <c r="M36" s="25">
        <f>'[2]прил к расп'!H68</f>
        <v>185.75</v>
      </c>
      <c r="N36" s="25">
        <f>'[2]прил к расп'!J68</f>
        <v>14794026.090723073</v>
      </c>
      <c r="O36" s="14"/>
      <c r="P36" s="14"/>
    </row>
    <row r="37" spans="1:16" x14ac:dyDescent="0.25">
      <c r="A37" s="16">
        <v>2</v>
      </c>
      <c r="B37" s="6" t="s">
        <v>47</v>
      </c>
      <c r="C37" s="7" t="s">
        <v>46</v>
      </c>
      <c r="D37" s="25">
        <f t="shared" ref="D37:D38" si="5">I37+K37+M37+O37+G37</f>
        <v>4.6139999999999999</v>
      </c>
      <c r="E37" s="19">
        <f t="shared" ref="E37:E38" si="6">F37/D37</f>
        <v>47833.073266152605</v>
      </c>
      <c r="F37" s="19">
        <f t="shared" ref="F37:F38" si="7">J37+L37+N37+P37+H37</f>
        <v>220701.80005002811</v>
      </c>
      <c r="G37" s="20"/>
      <c r="H37" s="26"/>
      <c r="I37" s="25">
        <f>'[2]прил к расп'!H74</f>
        <v>1.514</v>
      </c>
      <c r="J37" s="20">
        <f>'[2]прил к расп'!J74</f>
        <v>53539.218640000006</v>
      </c>
      <c r="K37" s="25">
        <f>'[1]прил к распПГ'!G261</f>
        <v>0</v>
      </c>
      <c r="L37" s="19">
        <f>'[1]прил к распПГ'!I261</f>
        <v>0</v>
      </c>
      <c r="M37" s="25">
        <f>'[2]прил к расп'!H69</f>
        <v>2.5</v>
      </c>
      <c r="N37" s="25">
        <f>'[2]прил к расп'!J69</f>
        <v>133753.9625100281</v>
      </c>
      <c r="O37" s="27">
        <f>'[2]прил к расп'!H67</f>
        <v>0.6</v>
      </c>
      <c r="P37" s="27">
        <f>'[2]прил к расп'!J67</f>
        <v>33408.618900000001</v>
      </c>
    </row>
    <row r="38" spans="1:16" x14ac:dyDescent="0.25">
      <c r="A38" s="16">
        <v>3</v>
      </c>
      <c r="B38" s="6" t="s">
        <v>48</v>
      </c>
      <c r="C38" s="7" t="s">
        <v>46</v>
      </c>
      <c r="D38" s="25">
        <f t="shared" si="5"/>
        <v>2.3820000000000001</v>
      </c>
      <c r="E38" s="19">
        <f t="shared" si="6"/>
        <v>56096.350828769268</v>
      </c>
      <c r="F38" s="19">
        <f t="shared" si="7"/>
        <v>133621.5076741284</v>
      </c>
      <c r="G38" s="25"/>
      <c r="H38" s="20"/>
      <c r="I38" s="25">
        <f>'[2]прил к расп'!H75</f>
        <v>0.66800000000000004</v>
      </c>
      <c r="J38" s="20">
        <f>'[2]прил к расп'!J75</f>
        <v>28621.822720000004</v>
      </c>
      <c r="K38" s="25">
        <f>'[1]прил к распПГ'!G263+'[1]прил к распПГ'!G262</f>
        <v>0</v>
      </c>
      <c r="L38" s="19">
        <f>'[1]прил к распПГ'!I262+'[1]прил к распПГ'!I263</f>
        <v>0</v>
      </c>
      <c r="M38" s="25">
        <f>'[2]прил к расп'!H70</f>
        <v>1.714</v>
      </c>
      <c r="N38" s="25">
        <f>'[2]прил к расп'!J70</f>
        <v>104999.6849541284</v>
      </c>
      <c r="O38" s="14"/>
      <c r="P38" s="14"/>
    </row>
    <row r="39" spans="1:16" x14ac:dyDescent="0.25">
      <c r="A39" s="14"/>
      <c r="B39" s="21" t="s">
        <v>43</v>
      </c>
      <c r="C39" s="28" t="s">
        <v>46</v>
      </c>
      <c r="D39" s="29">
        <f>SUM(D36:D38)</f>
        <v>192.74600000000001</v>
      </c>
      <c r="E39" s="23"/>
      <c r="F39" s="23">
        <f t="shared" ref="F39:P39" si="8">SUM(F36:F38)</f>
        <v>15148349.398447229</v>
      </c>
      <c r="G39" s="30">
        <f t="shared" si="8"/>
        <v>0</v>
      </c>
      <c r="H39" s="23">
        <f t="shared" si="8"/>
        <v>0</v>
      </c>
      <c r="I39" s="30">
        <f t="shared" si="8"/>
        <v>2.1819999999999999</v>
      </c>
      <c r="J39" s="23">
        <f t="shared" si="8"/>
        <v>82161.041360000003</v>
      </c>
      <c r="K39" s="30">
        <f t="shared" si="8"/>
        <v>0</v>
      </c>
      <c r="L39" s="23">
        <f t="shared" si="8"/>
        <v>0</v>
      </c>
      <c r="M39" s="29">
        <f t="shared" si="8"/>
        <v>189.964</v>
      </c>
      <c r="N39" s="23">
        <f t="shared" si="8"/>
        <v>15032779.738187231</v>
      </c>
      <c r="O39" s="23">
        <f t="shared" si="8"/>
        <v>0.6</v>
      </c>
      <c r="P39" s="23">
        <f t="shared" si="8"/>
        <v>33408.618900000001</v>
      </c>
    </row>
    <row r="40" spans="1:16" x14ac:dyDescent="0.25">
      <c r="A40" s="31"/>
      <c r="B40" s="31"/>
      <c r="C40" s="31"/>
      <c r="D40" s="32"/>
      <c r="E40" s="31"/>
      <c r="F40" s="32"/>
      <c r="G40" s="32"/>
      <c r="H40" s="32"/>
      <c r="I40" s="31"/>
      <c r="J40" s="32"/>
      <c r="K40" s="31"/>
      <c r="L40" s="31"/>
      <c r="M40" s="31"/>
      <c r="N40" s="31"/>
      <c r="O40" s="31"/>
      <c r="P40" s="31"/>
    </row>
    <row r="41" spans="1:16" x14ac:dyDescent="0.25">
      <c r="A41" s="31"/>
      <c r="B41" s="33"/>
      <c r="C41" s="31"/>
      <c r="D41" s="31"/>
      <c r="E41" s="31"/>
      <c r="F41" s="31"/>
      <c r="G41" s="31"/>
      <c r="H41" s="31"/>
      <c r="I41" s="31"/>
      <c r="J41" s="32"/>
      <c r="K41" s="31"/>
      <c r="L41" s="31"/>
      <c r="M41" s="31"/>
      <c r="N41" s="31"/>
      <c r="O41" s="31"/>
      <c r="P41" s="31"/>
    </row>
    <row r="42" spans="1:16" x14ac:dyDescent="0.25">
      <c r="A42" s="31"/>
      <c r="B42" s="34"/>
      <c r="C42" s="31"/>
      <c r="D42" s="31"/>
      <c r="E42" s="31"/>
      <c r="F42" s="31"/>
      <c r="G42" s="31"/>
      <c r="H42" s="31"/>
      <c r="I42" s="32"/>
      <c r="J42" s="32"/>
      <c r="K42" s="32"/>
      <c r="L42" s="32"/>
      <c r="M42" s="32"/>
      <c r="N42" s="32"/>
      <c r="O42" s="32"/>
      <c r="P42" s="32"/>
    </row>
    <row r="43" spans="1:16" x14ac:dyDescent="0.25">
      <c r="A43" s="3"/>
      <c r="B43" s="3"/>
      <c r="C43" s="3"/>
      <c r="D43" s="3"/>
      <c r="E43" s="3"/>
      <c r="F43" s="3"/>
      <c r="G43" s="35"/>
      <c r="H43" s="35"/>
      <c r="I43" s="35"/>
      <c r="J43" s="35"/>
      <c r="K43" s="35"/>
      <c r="L43" s="35"/>
      <c r="M43" s="10"/>
      <c r="N43" s="10"/>
      <c r="O43" s="31"/>
      <c r="P43" s="31"/>
    </row>
    <row r="44" spans="1:16" x14ac:dyDescent="0.25">
      <c r="A44" s="3"/>
      <c r="B44" s="3"/>
      <c r="C44" s="3"/>
      <c r="D44" s="3"/>
      <c r="E44" s="3"/>
      <c r="F44" s="3"/>
      <c r="G44" s="36"/>
      <c r="H44" s="36"/>
      <c r="I44" s="36"/>
      <c r="J44" s="36"/>
      <c r="K44" s="36"/>
      <c r="L44" s="36"/>
      <c r="M44" s="36"/>
      <c r="N44" s="36"/>
      <c r="O44" s="31"/>
      <c r="P44" s="31"/>
    </row>
  </sheetData>
  <mergeCells count="18">
    <mergeCell ref="F43:F44"/>
    <mergeCell ref="G43:H43"/>
    <mergeCell ref="I43:J43"/>
    <mergeCell ref="K43:L43"/>
    <mergeCell ref="M43:N43"/>
    <mergeCell ref="B5:C5"/>
    <mergeCell ref="A43:A44"/>
    <mergeCell ref="B43:B44"/>
    <mergeCell ref="C43:C44"/>
    <mergeCell ref="D43:D44"/>
    <mergeCell ref="E43:E44"/>
    <mergeCell ref="A1:F3"/>
    <mergeCell ref="G1:P1"/>
    <mergeCell ref="G2:H3"/>
    <mergeCell ref="I2:J3"/>
    <mergeCell ref="K2:L3"/>
    <mergeCell ref="M2:N3"/>
    <mergeCell ref="O2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pc24</dc:creator>
  <cp:lastModifiedBy>Шахтарин Данил Денисович</cp:lastModifiedBy>
  <dcterms:created xsi:type="dcterms:W3CDTF">2015-06-05T18:19:34Z</dcterms:created>
  <dcterms:modified xsi:type="dcterms:W3CDTF">2026-02-11T05:39:18Z</dcterms:modified>
</cp:coreProperties>
</file>
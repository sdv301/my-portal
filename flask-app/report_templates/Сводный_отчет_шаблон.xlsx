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24\Downloads\Code\test2\report_templates\"/>
    </mc:Choice>
  </mc:AlternateContent>
  <xr:revisionPtr revIDLastSave="0" documentId="13_ncr:1_{613E72AC-0126-4E5C-998C-06C9F1835ED0}" xr6:coauthVersionLast="47" xr6:coauthVersionMax="47" xr10:uidLastSave="{00000000-0000-0000-0000-000000000000}"/>
  <bookViews>
    <workbookView xWindow="-120" yWindow="-120" windowWidth="29040" windowHeight="15840" tabRatio="500" activeTab="6" xr2:uid="{00000000-000D-0000-FFFF-FFFF00000000}"/>
  </bookViews>
  <sheets>
    <sheet name="1-Структура" sheetId="1" r:id="rId1"/>
    <sheet name="Справочник" sheetId="2" state="hidden" r:id="rId2"/>
    <sheet name="2-Потребность" sheetId="3" r:id="rId3"/>
    <sheet name="3-Остатки" sheetId="4" r:id="rId4"/>
    <sheet name="4-Поставка" sheetId="5" r:id="rId5"/>
    <sheet name="5-Реализация" sheetId="6" r:id="rId6"/>
    <sheet name="6-Авиатопливо" sheetId="7" r:id="rId7"/>
    <sheet name="7-Справка" sheetId="8" r:id="rId8"/>
  </sheets>
  <definedNames>
    <definedName name="SF">Справочник!$C$4:$C$89</definedName>
    <definedName name="_xlnm.Print_Area" localSheetId="0">'1-Структура'!$A$1:$E$58</definedName>
    <definedName name="_xlnm.Print_Area" localSheetId="2">'2-Потребность'!$A$1:$K$16</definedName>
    <definedName name="_xlnm.Print_Area" localSheetId="3">'3-Остатки'!$A$1:$AB$42</definedName>
    <definedName name="_xlnm.Print_Area" localSheetId="4">'4-Поставка'!$A$1:$L$14</definedName>
    <definedName name="_xlnm.Print_Area" localSheetId="5">'5-Реализация'!$A$1:$S$42</definedName>
    <definedName name="_xlnm.Print_Area" localSheetId="6">'6-Авиатопливо'!$A$1:$I$40</definedName>
    <definedName name="_xlnm.Print_Area" localSheetId="7">'7-Справка'!$A$1:$C$9</definedName>
    <definedName name="ситуация">Справочник!$H$4:$H$6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<sst xmlns="http://schemas.openxmlformats.org/spreadsheetml/2006/main" count="396" uniqueCount="242">
  <si>
    <t>Информация по состоянию за:</t>
  </si>
  <si>
    <t>Исполнитель:</t>
  </si>
  <si>
    <t>Каженкина Марина Аркадьевна</t>
  </si>
  <si>
    <t>Контактный телефон:</t>
  </si>
  <si>
    <t>(4112) 39-82-89</t>
  </si>
  <si>
    <t>Субъект Российской Федерации</t>
  </si>
  <si>
    <t>Саха /Якутия/ республика</t>
  </si>
  <si>
    <t>Код субъекта РФ</t>
  </si>
  <si>
    <t>1. Структура топливного рынка субъекта РФ</t>
  </si>
  <si>
    <t xml:space="preserve">Таблица №1 Нефтебазы и автозаправочные станции </t>
  </si>
  <si>
    <t>Принадлежность ПНПО 
ВИНК / Независимые компании</t>
  </si>
  <si>
    <t>Наименование компаний (организаций) 
поставщиков нефтепродуктов ПНПО</t>
  </si>
  <si>
    <t>Кол-во
нефтебаз</t>
  </si>
  <si>
    <t>Кол-во
АЗС</t>
  </si>
  <si>
    <t>Кол-во
работающих
АЗС</t>
  </si>
  <si>
    <t>АО "Саханефтегазсбыт"</t>
  </si>
  <si>
    <t>ООО Газпромнефть-РП (Омская НПЗ)</t>
  </si>
  <si>
    <t>АО НК "Туймаада-Нефть"</t>
  </si>
  <si>
    <t xml:space="preserve">Ангарский НПЗ, Ачинский НПЗ, Омский НПЗ, Сургутский ЗСК </t>
  </si>
  <si>
    <t>ООО "Экто-Ойл"</t>
  </si>
  <si>
    <t xml:space="preserve">ПАО "НК "Роснефть",ООО "Татнефть-АЗС Центр",ООО "ГАЗПРОМ ГАЗОНЕФТЕПРОДУКТ ПРОДАЖИ",ПАО "Газпром нефть"  </t>
  </si>
  <si>
    <t>ООО "Сибойл"</t>
  </si>
  <si>
    <t>ООО "Сибирское топливо"</t>
  </si>
  <si>
    <t xml:space="preserve">ПАО "НК "Роснефть",ООО "Татнефть-АЗС Центр",ООО "ГАЗПРОМ ГАЗОНЕФТЕПРОДУКТ ПРОДАЖИ",ПАО "Газпром нефть" </t>
  </si>
  <si>
    <t>ООО "Паритет"</t>
  </si>
  <si>
    <t xml:space="preserve">Данная компания не предоставляет информацию несмотря на запросы о предоставлении ежедновной отчетности по топливообеспечению. </t>
  </si>
  <si>
    <t>Таблица №2 Аэропорты, аэродромы</t>
  </si>
  <si>
    <t>Наименование аэропортов, аэродромов 
в субъекте РФ</t>
  </si>
  <si>
    <t>Наименование ТЗК</t>
  </si>
  <si>
    <t>филиал "Аэропорт Алдан"</t>
  </si>
  <si>
    <t>Служба ГСМ филиала "Аэропорт Алдан"</t>
  </si>
  <si>
    <t>Филиал "Аэропорт Батагай"</t>
  </si>
  <si>
    <t>Служба ГСМ филиала "Аэропорт Батагай"</t>
  </si>
  <si>
    <t>Филиал "Аэропорт Белая Гора"</t>
  </si>
  <si>
    <t>Служба ГСМ филиала "Аэропорт Белая Гора"</t>
  </si>
  <si>
    <t>Филиал "Аэропорт Верхневилюйск"</t>
  </si>
  <si>
    <t>Служба ГСМ филиала "Аэропорт Верхневилюйск"</t>
  </si>
  <si>
    <t>Филиал "Аэропорт Вилюйск"</t>
  </si>
  <si>
    <t>Служба ГСМ филиала "Аэропорт Вилюйск"</t>
  </si>
  <si>
    <t>Филиал "Аэропорт Депутатский"</t>
  </si>
  <si>
    <t>Служба ГСМ филиала "Аэропорт Депутатский"</t>
  </si>
  <si>
    <t>Филиал "Аэропорт Жиганск"</t>
  </si>
  <si>
    <t>Служба ГСМ филиала "Аэропорт Жиганск"</t>
  </si>
  <si>
    <t>Филиал "Аэропорт Зырянка"</t>
  </si>
  <si>
    <t>Служба ГСМ филиала "Аэропорт Зырянка"</t>
  </si>
  <si>
    <t>Филиал "Аэропорт Маган"</t>
  </si>
  <si>
    <t>Служба ГСМ филиала "Аэропорт Маган"</t>
  </si>
  <si>
    <t>Филиал "Аэропорт Мома"</t>
  </si>
  <si>
    <t>Служба ГСМ филиала "Аэропорт Мома"</t>
  </si>
  <si>
    <t>Филиал "Аэропорт Нерюнгри"</t>
  </si>
  <si>
    <t>Служба ГСМ филиала "Аэропорт Нерюнгри"</t>
  </si>
  <si>
    <t>Филиал "Аэропорт Нюрба"</t>
  </si>
  <si>
    <t>Служба ГСМ филиала "Аэропорт Нюрба"</t>
  </si>
  <si>
    <t>Филиал "Аэропорт Олекминск"</t>
  </si>
  <si>
    <t>Служба ГСМ филиала "Аэропорт Олекминск"</t>
  </si>
  <si>
    <t>Филиал "Аэропорт Саккырыр"</t>
  </si>
  <si>
    <t>Служба ГСМ филиала "Аэропорт Саккырыр"</t>
  </si>
  <si>
    <t>Филиал "Аэропорт Сангар"</t>
  </si>
  <si>
    <t>Служба ГСМ филиала "Аэропорт Сангар"</t>
  </si>
  <si>
    <t>Филиал "Аэропорт Северо-Эвенск"</t>
  </si>
  <si>
    <t>Служба ГСМ филиала "Аэропорт Северо-Эвенск"</t>
  </si>
  <si>
    <t>Филиал "Аэропорт Сеймчан"</t>
  </si>
  <si>
    <t>Служба ГСМ филиала "Аэропорт Сеймчан"</t>
  </si>
  <si>
    <t>Филиал "Аэропорт Среднеколымск"</t>
  </si>
  <si>
    <t>Служба ГСМ филиала "Аэропорт Среднеколымск"</t>
  </si>
  <si>
    <t>Филиал "Аэропорт Сунтар"</t>
  </si>
  <si>
    <t>Служба ГСМ филиала "Аэропорт Сунтар"</t>
  </si>
  <si>
    <t>Филиал "Аэропорт Усть-Куйга"</t>
  </si>
  <si>
    <t>Служба ГСМ филиала "Аэропорт Усть-Куйга"</t>
  </si>
  <si>
    <t>Филиал "Аэропорт Усть-Мая"</t>
  </si>
  <si>
    <t>Служба ГСМ филиала "Аэропорт Усть-Мая"</t>
  </si>
  <si>
    <t>Филиал "Аэропорт Усть-Нера"</t>
  </si>
  <si>
    <t>Служба ГСМ филиала "Аэропорт Усть-Нера"</t>
  </si>
  <si>
    <t>Филиал "Аэропорт Хандыга"</t>
  </si>
  <si>
    <t>Служба ГСМ филиала "Аэропорт Хандыга"</t>
  </si>
  <si>
    <t>Филиал "Аэропорт Черский"</t>
  </si>
  <si>
    <t>Служба ГСМ филиала "Аэропорт Черский"</t>
  </si>
  <si>
    <t>Филиал "Аэропорт Чокурдах"</t>
  </si>
  <si>
    <t>Служба ГСМ филиала "Аэропорт Чокурдах"</t>
  </si>
  <si>
    <t>Филиал "Аэропорт Айхал"</t>
  </si>
  <si>
    <t>Служба ГСМ филиала "Аэропорт Айхал"</t>
  </si>
  <si>
    <t>Филиал "Аэропорт Ленск"</t>
  </si>
  <si>
    <t>Служба ГСМ филиала "Аэропорт Ленск"</t>
  </si>
  <si>
    <t>Филиал "Аэропорт Оленек"</t>
  </si>
  <si>
    <t>Служба ГСМ филиала "Аэропорт Оленек"</t>
  </si>
  <si>
    <t>Филиал "Аэропорт Полярный"</t>
  </si>
  <si>
    <t>Служба ГСМ филиала "Аэропорт Полярный"</t>
  </si>
  <si>
    <t>Филиал "Аэропорт Саскылах"</t>
  </si>
  <si>
    <t>Служба ГСМ филиала "Аэропорт Саскылах"</t>
  </si>
  <si>
    <t>Филиал "Аэропорт Тикси"</t>
  </si>
  <si>
    <t>Служба ГСМ филиала "Аэропорт Тикси"</t>
  </si>
  <si>
    <t>Наименование аэропортов, аэродромов 
в субъекте РФ*</t>
  </si>
  <si>
    <t>АО "Аэропорт Якутск"</t>
  </si>
  <si>
    <t>филиал АО "Аэрофьюэлз"-Якутск</t>
  </si>
  <si>
    <t>Аэропорт Мирный</t>
  </si>
  <si>
    <t>Склад ГСМ МАП АК "АЛРОСА" (ПАО)</t>
  </si>
  <si>
    <t>Наименование субъекта Российской Федерации</t>
  </si>
  <si>
    <t>Код 
субъекта РФ</t>
  </si>
  <si>
    <t>Адыгея республика</t>
  </si>
  <si>
    <t>1 - Стабильная</t>
  </si>
  <si>
    <t>Башкортостан республика</t>
  </si>
  <si>
    <t>2 - Напряженная</t>
  </si>
  <si>
    <t>Бурятия республика</t>
  </si>
  <si>
    <t>3 - Критическая</t>
  </si>
  <si>
    <t>Алтай республика</t>
  </si>
  <si>
    <t>Дагестан республика</t>
  </si>
  <si>
    <t>Ингушетия республика</t>
  </si>
  <si>
    <t>Кабардино-Балкарская республика</t>
  </si>
  <si>
    <t>Калмыкия республика</t>
  </si>
  <si>
    <t>Карачаево-Черкесская республика</t>
  </si>
  <si>
    <t>Карелия республика</t>
  </si>
  <si>
    <t>Коми республика</t>
  </si>
  <si>
    <t>Марий Эл республика</t>
  </si>
  <si>
    <t>Мордовия республика</t>
  </si>
  <si>
    <t>Северная Осетия - Алания республика</t>
  </si>
  <si>
    <t>Татарстан республика</t>
  </si>
  <si>
    <t>Тыва республика</t>
  </si>
  <si>
    <t>Удмуртская республика</t>
  </si>
  <si>
    <t>Хакасия республика</t>
  </si>
  <si>
    <t>Чеченская республика</t>
  </si>
  <si>
    <t>Чувашская Республика - Чувашия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</si>
  <si>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</si>
  <si>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</si>
  <si>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</si>
  <si>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</si>
  <si>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</si>
  <si>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</si>
  <si>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</si>
  <si>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</si>
  <si>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</si>
  <si>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</si>
  <si>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</si>
  <si>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</si>
  <si>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</si>
  <si>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</si>
  <si>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</si>
  <si>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</si>
  <si>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</si>
  <si>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</si>
  <si>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</si>
  <si>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</si>
  <si>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</si>
  <si>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</si>
  <si>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</si>
  <si>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</si>
  <si>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</si>
  <si>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</si>
  <si>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</si>
  <si>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</si>
  <si>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</si>
  <si>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</si>
  <si>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</si>
  <si>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</si>
  <si>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</si>
  <si>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</si>
  <si>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</si>
  <si>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</si>
  <si>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</si>
  <si>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</si>
  <si>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</si>
  <si>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</si>
  <si>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</si>
  <si>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</si>
  <si>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</si>
  <si>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</si>
  <si>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</si>
  <si>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</si>
  <si>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</si>
  <si>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</si>
  <si>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</si>
  <si>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</si>
  <si>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</si>
  <si>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</si>
  <si>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</si>
  <si>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</si>
  <si>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</si>
  <si>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Москва город</t>
  </si>
  <si>
    <t>Санкт-Петербург город</t>
  </si>
  <si>
    <t>Еврейская автономная область</t>
  </si>
  <si>
    <t>Ненецкий автономный округ</t>
  </si>
  <si>
    <t>Ханты-Мансийский Автономный округ - Югра автономный округ</t>
  </si>
  <si>
    <t>Чукотский автономный округ</t>
  </si>
  <si>
    <t>Ямало-Ненецкий автономный округ</t>
  </si>
  <si>
    <t>Крым республика</t>
  </si>
  <si>
    <t>Севастополь город</t>
  </si>
  <si>
    <t>Байконур город</t>
  </si>
  <si>
    <t>2. Потребность в моторном топливе субъекта РФ (тыс. тонн)</t>
  </si>
  <si>
    <t>Таблица №3 Годовая потребность в моторном топливе</t>
  </si>
  <si>
    <t>Отчетная дата</t>
  </si>
  <si>
    <t>Автобензины</t>
  </si>
  <si>
    <t>Дизельное топливо</t>
  </si>
  <si>
    <t>Всего</t>
  </si>
  <si>
    <t>АИ
76/80</t>
  </si>
  <si>
    <t>АИ
92</t>
  </si>
  <si>
    <t>АИ
95</t>
  </si>
  <si>
    <t>АИ
98/100</t>
  </si>
  <si>
    <t>Зим.</t>
  </si>
  <si>
    <t>Арк.</t>
  </si>
  <si>
    <t>Лет.</t>
  </si>
  <si>
    <t>Меж.</t>
  </si>
  <si>
    <t xml:space="preserve"> ГОД 2026 , всего</t>
  </si>
  <si>
    <t xml:space="preserve"> - в т.ч. для розничной реализации через АЗС</t>
  </si>
  <si>
    <t>Таблица №4 Ожидаемая потребность в моторном топливе в отчетном месяце</t>
  </si>
  <si>
    <t xml:space="preserve">  МЕСЯЦ январь, всего</t>
  </si>
  <si>
    <t>3. Информация о наличии моторного топлива на предприятиях нефтепродуктообеспечения (ПНПО) и автозаправочных станциях (АЗС) в субъектах РФ. (тыс. тонн)</t>
  </si>
  <si>
    <t>Таблица №5 Наличие моторного топлива</t>
  </si>
  <si>
    <t>Принадлежность ПНПО /АЗС
ВИНК / Независимые</t>
  </si>
  <si>
    <t>Нефтебаза/
суммарное количество АЗС</t>
  </si>
  <si>
    <t>Имеющиеся запасы, товарные остатки</t>
  </si>
  <si>
    <t>Товар в пути</t>
  </si>
  <si>
    <t>Фактическая емкость хранения резервуарного парка</t>
  </si>
  <si>
    <t>Дизтопливо</t>
  </si>
  <si>
    <t>4. Ожидаемые поставки моторного топлива на нефтебазы ПНПО в субъектах РФ. (тыс. тонн)</t>
  </si>
  <si>
    <t>Таблица №6 Поставка моторного топлива</t>
  </si>
  <si>
    <t>Принадлежность ПНПО 
ВИНК / Независимые</t>
  </si>
  <si>
    <t>Нефтебаза</t>
  </si>
  <si>
    <t>Срок поставки</t>
  </si>
  <si>
    <t>Объем ожидаемой поставки</t>
  </si>
  <si>
    <t>5. Реализация моторного топлива с предприятий нефтепродуктообеспечения (ПНПО) и автозаправочных станций (АЗС) 
в субъектах РФ. (тыс. тонн)</t>
  </si>
  <si>
    <t>Таблица №7 Реализация моторного топлива</t>
  </si>
  <si>
    <t>Принадлежность ПНПО /АЗС
ВИНК / Независимые компании</t>
  </si>
  <si>
    <t>Нефтебаза/суммарное количество АЗС</t>
  </si>
  <si>
    <t>Реализация (сутки)</t>
  </si>
  <si>
    <t>Реализация (с нач. месяца)</t>
  </si>
  <si>
    <t>6. Поставка авиатоплива в аэропорты, аэродромы субъектов РФ (тыс. тонн)</t>
  </si>
  <si>
    <t>Таблица №8 Авиатопливо</t>
  </si>
  <si>
    <t>Наличие заключенных договоров на месяц
(в объемах)</t>
  </si>
  <si>
    <t>Поставка</t>
  </si>
  <si>
    <t>Потребность на месяц</t>
  </si>
  <si>
    <t>Расход</t>
  </si>
  <si>
    <t>Остатки на конец дня</t>
  </si>
  <si>
    <t>нед.</t>
  </si>
  <si>
    <t>с нач. мес.</t>
  </si>
  <si>
    <t>Договора на поставку авиатоплива заключают контрагенты (авиакомпании)</t>
  </si>
  <si>
    <t>Потребность определяется контрагентами (авиакомпаниями)</t>
  </si>
  <si>
    <t>7. Комментарии к обстановке с топливообеспечением субъектов РФ</t>
  </si>
  <si>
    <t>Таблица №9 Комментарии</t>
  </si>
  <si>
    <t>Моторное топливо</t>
  </si>
  <si>
    <t>Ситуация по топливообеспечению</t>
  </si>
  <si>
    <t>Комментарии по ситуации</t>
  </si>
  <si>
    <t>Бензин автомобильный</t>
  </si>
  <si>
    <t>Авиатопливо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</si>
</sst>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mmm/yyyy"/>
    <numFmt numFmtId="166" formatCode="#,##0.000"/>
    <numFmt numFmtId="167" formatCode="mmmm/yyyy"/>
    <numFmt numFmtId="168" formatCode="dd/mm/yy"/>
  </numFmts>
  <fonts count="18">
    <font>
      <sz val="10"/>
      <color rgb="FF000000"/>
      <name val="Arial"/>
      <charset val="1"/>
    </font>
    <font>
      <sz val="10"/>
      <color rgb="FF000000"/>
      <name val="Arial"/>
      <family val="2"/>
      <charset val="204"/>
    </font>
    <font>
      <sz val="9"/>
      <color rgb="FF000000"/>
      <name val="XO Thames"/>
      <charset val="1"/>
    </font>
    <font>
      <b/>
      <sz val="9"/>
      <color rgb="FF000000"/>
      <name val="XO Thames"/>
      <charset val="1"/>
    </font>
    <font>
      <b/>
      <sz val="16"/>
      <color rgb="FF000000"/>
      <name val="XO Thames"/>
      <charset val="1"/>
    </font>
    <font>
      <b/>
      <i/>
      <sz val="9"/>
      <color rgb="FF000000"/>
      <name val="XO Thames"/>
      <charset val="1"/>
    </font>
    <font>
      <sz val="10"/>
      <color rgb="FF000000"/>
      <name val="XO Thames"/>
      <charset val="1"/>
    </font>
    <font>
      <sz val="10"/>
      <color rgb="FF000000"/>
      <name val="Arial Narrow"/>
      <charset val="1"/>
    </font>
    <font>
      <b/>
      <sz val="10"/>
      <color rgb="FF000000"/>
      <name val="Arial Narrow"/>
      <charset val="1"/>
    </font>
    <font>
      <b/>
      <sz val="9"/>
      <name val="XO Thames"/>
      <charset val="1"/>
    </font>
    <font>
      <sz val="9"/>
      <color rgb="FF000000"/>
      <name val="PT Astra Serif"/>
      <charset val="1"/>
    </font>
    <font>
      <sz val="9"/>
      <color rgb="FF000000"/>
      <name val="Arial Narrow"/>
      <charset val="1"/>
    </font>
    <font>
      <sz val="9"/>
      <name val="XO Thames"/>
      <charset val="1"/>
    </font>
    <font>
      <b/>
      <sz val="9"/>
      <name val="PT Astra Serif"/>
      <charset val="1"/>
    </font>
    <font>
      <sz val="9"/>
      <color rgb="FF000000"/>
      <name val="Arial Narrow"/>
      <family val="2"/>
      <charset val="204"/>
    </font>
    <font>
      <sz val="10"/>
      <name val="XO Thames"/>
      <charset val="1"/>
    </font>
    <font>
      <sz val="9"/>
      <color theme="1"/>
      <name val="XO Thames"/>
      <charset val="1"/>
    </font>
    <font>
      <sz val="10"/>
      <color rgb="FF000000"/>
      <name val="Times New Roman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A6A6A6"/>
        <bgColor rgb="FF9999FF"/>
      </patternFill>
    </fill>
    <fill>
      <patternFill patternType="solid">
        <fgColor rgb="FFD9D9D9"/>
        <bgColor rgb="FFD7E4BD"/>
      </patternFill>
    </fill>
    <fill>
      <patternFill patternType="solid">
        <fgColor rgb="FFB9CDE5"/>
        <bgColor rgb="FFB7DEE8"/>
      </patternFill>
    </fill>
    <fill>
      <patternFill patternType="solid">
        <fgColor rgb="FFC3D69B"/>
        <bgColor rgb="FFD7E4BD"/>
      </patternFill>
    </fill>
    <fill>
      <patternFill patternType="solid">
        <fgColor rgb="FFB7DEE8"/>
        <bgColor rgb="FFB9CDE5"/>
      </patternFill>
    </fill>
    <fill>
      <patternFill patternType="solid">
        <fgColor rgb="FFFFFFFF"/>
        <bgColor rgb="FFFFFFAF"/>
      </patternFill>
    </fill>
    <fill>
      <patternFill patternType="solid">
        <fgColor rgb="FFE6B9B8"/>
        <bgColor rgb="FFD9D9D9"/>
      </patternFill>
    </fill>
    <fill>
      <patternFill patternType="solid">
        <fgColor rgb="FFFFE994"/>
        <bgColor rgb="FFFFFFA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2" fillId="0" borderId="0" xfId="0" applyFont="1" applyBorder="1" applyAlignment="1" applyProtection="1"/>
    <xf numFmtId="0" fontId="2" fillId="0" borderId="1" xfId="0" applyFont="1" applyBorder="1" applyAlignment="1" applyProtection="1">
      <alignment vertical="center"/>
    </xf>
    <xf numFmtId="14" fontId="3" fillId="0" borderId="1" xfId="0" applyNumberFormat="1" applyFont="1" applyBorder="1" applyAlignment="1" applyProtection="1">
      <alignment horizontal="left" vertical="center"/>
    </xf>
    <xf numFmtId="0" fontId="2" fillId="0" borderId="1" xfId="0" applyFont="1" applyBorder="1" applyAlignment="1" applyProtection="1"/>
    <xf numFmtId="0" fontId="2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4" fillId="0" borderId="0" xfId="0" applyFont="1" applyBorder="1" applyAlignment="1" applyProtection="1"/>
    <xf numFmtId="0" fontId="5" fillId="0" borderId="0" xfId="0" applyFont="1" applyBorder="1" applyAlignment="1" applyProtection="1"/>
    <xf numFmtId="0" fontId="3" fillId="0" borderId="1" xfId="0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/>
    <xf numFmtId="0" fontId="2" fillId="0" borderId="0" xfId="0" applyFont="1" applyBorder="1" applyAlignment="1" applyProtection="1">
      <alignment horizontal="left"/>
    </xf>
    <xf numFmtId="0" fontId="3" fillId="0" borderId="2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left"/>
    </xf>
    <xf numFmtId="0" fontId="7" fillId="0" borderId="0" xfId="0" applyFont="1" applyBorder="1" applyAlignment="1" applyProtection="1"/>
    <xf numFmtId="0" fontId="8" fillId="3" borderId="1" xfId="0" applyFont="1" applyFill="1" applyBorder="1" applyAlignment="1" applyProtection="1">
      <alignment horizontal="center" vertical="center"/>
    </xf>
    <xf numFmtId="0" fontId="8" fillId="3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/>
    <xf numFmtId="164" fontId="9" fillId="0" borderId="2" xfId="0" applyNumberFormat="1" applyFont="1" applyBorder="1" applyAlignment="1" applyProtection="1">
      <alignment horizontal="center" vertical="center" wrapText="1"/>
    </xf>
    <xf numFmtId="0" fontId="3" fillId="4" borderId="2" xfId="0" applyFont="1" applyFill="1" applyBorder="1" applyAlignment="1" applyProtection="1">
      <alignment horizontal="center" vertical="center" wrapText="1"/>
    </xf>
    <xf numFmtId="165" fontId="2" fillId="0" borderId="2" xfId="0" applyNumberFormat="1" applyFont="1" applyBorder="1" applyAlignment="1" applyProtection="1">
      <alignment horizontal="left" vertical="center"/>
    </xf>
    <xf numFmtId="166" fontId="2" fillId="0" borderId="2" xfId="0" applyNumberFormat="1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/>
    </xf>
    <xf numFmtId="165" fontId="2" fillId="0" borderId="2" xfId="0" applyNumberFormat="1" applyFont="1" applyBorder="1" applyAlignment="1" applyProtection="1">
      <alignment horizontal="left" vertical="center" wrapText="1"/>
    </xf>
    <xf numFmtId="0" fontId="5" fillId="0" borderId="2" xfId="0" applyFont="1" applyBorder="1" applyAlignment="1" applyProtection="1"/>
    <xf numFmtId="167" fontId="2" fillId="0" borderId="2" xfId="0" applyNumberFormat="1" applyFont="1" applyBorder="1" applyAlignment="1" applyProtection="1">
      <alignment horizontal="left" vertical="center"/>
    </xf>
    <xf numFmtId="0" fontId="3" fillId="5" borderId="3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vertical="center" wrapText="1"/>
    </xf>
    <xf numFmtId="0" fontId="2" fillId="0" borderId="1" xfId="0" applyFont="1" applyBorder="1" applyAlignment="1" applyProtection="1">
      <alignment horizontal="left"/>
    </xf>
    <xf numFmtId="166" fontId="10" fillId="0" borderId="1" xfId="0" applyNumberFormat="1" applyFont="1" applyBorder="1" applyAlignment="1" applyProtection="1"/>
    <xf numFmtId="0" fontId="11" fillId="0" borderId="1" xfId="0" applyFont="1" applyBorder="1" applyAlignment="1" applyProtection="1"/>
    <xf numFmtId="164" fontId="11" fillId="0" borderId="1" xfId="0" applyNumberFormat="1" applyFont="1" applyBorder="1" applyAlignment="1" applyProtection="1"/>
    <xf numFmtId="0" fontId="2" fillId="0" borderId="1" xfId="0" applyFont="1" applyBorder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left" wrapText="1"/>
    </xf>
    <xf numFmtId="0" fontId="2" fillId="0" borderId="1" xfId="0" applyFont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vertical="center" wrapText="1"/>
    </xf>
    <xf numFmtId="0" fontId="3" fillId="0" borderId="0" xfId="0" applyFont="1" applyBorder="1" applyAlignment="1" applyProtection="1"/>
    <xf numFmtId="0" fontId="3" fillId="0" borderId="1" xfId="0" applyFont="1" applyBorder="1" applyAlignment="1" applyProtection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vertical="top"/>
    </xf>
    <xf numFmtId="0" fontId="3" fillId="0" borderId="1" xfId="0" applyFont="1" applyBorder="1" applyAlignment="1" applyProtection="1">
      <alignment vertical="center" wrapText="1"/>
    </xf>
    <xf numFmtId="0" fontId="2" fillId="0" borderId="1" xfId="0" applyFont="1" applyBorder="1" applyAlignment="1" applyProtection="1">
      <alignment vertical="center" wrapText="1"/>
    </xf>
    <xf numFmtId="168" fontId="2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vertical="top" wrapText="1"/>
    </xf>
    <xf numFmtId="0" fontId="2" fillId="0" borderId="1" xfId="0" applyFont="1" applyBorder="1" applyAlignment="1" applyProtection="1">
      <alignment wrapText="1"/>
    </xf>
    <xf numFmtId="0" fontId="2" fillId="0" borderId="1" xfId="0" applyFont="1" applyBorder="1" applyAlignment="1" applyProtection="1">
      <alignment horizontal="left" vertical="top" wrapText="1"/>
    </xf>
    <xf numFmtId="0" fontId="3" fillId="0" borderId="1" xfId="0" applyFont="1" applyBorder="1" applyAlignment="1" applyProtection="1">
      <alignment vertical="center"/>
    </xf>
    <xf numFmtId="164" fontId="10" fillId="0" borderId="1" xfId="0" applyNumberFormat="1" applyFont="1" applyBorder="1" applyAlignment="1" applyProtection="1"/>
    <xf numFmtId="0" fontId="10" fillId="0" borderId="1" xfId="0" applyFont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vertical="center" wrapText="1"/>
    </xf>
    <xf numFmtId="0" fontId="10" fillId="0" borderId="1" xfId="0" applyFont="1" applyBorder="1" applyAlignment="1" applyProtection="1">
      <alignment vertical="top"/>
    </xf>
    <xf numFmtId="0" fontId="10" fillId="0" borderId="1" xfId="0" applyFont="1" applyBorder="1" applyAlignment="1" applyProtection="1">
      <alignment horizontal="left"/>
    </xf>
    <xf numFmtId="0" fontId="3" fillId="8" borderId="1" xfId="0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/>
    </xf>
    <xf numFmtId="0" fontId="14" fillId="0" borderId="1" xfId="1" applyFont="1" applyBorder="1" applyAlignment="1" applyProtection="1">
      <alignment horizontal="center"/>
    </xf>
    <xf numFmtId="0" fontId="11" fillId="0" borderId="1" xfId="0" applyFont="1" applyBorder="1" applyAlignment="1" applyProtection="1">
      <alignment horizontal="center"/>
    </xf>
    <xf numFmtId="164" fontId="11" fillId="0" borderId="1" xfId="0" applyNumberFormat="1" applyFont="1" applyBorder="1" applyAlignment="1" applyProtection="1">
      <alignment horizontal="center"/>
    </xf>
    <xf numFmtId="0" fontId="15" fillId="0" borderId="0" xfId="0" applyFont="1" applyBorder="1" applyAlignment="1" applyProtection="1"/>
    <xf numFmtId="0" fontId="6" fillId="0" borderId="0" xfId="0" applyFont="1" applyBorder="1" applyAlignment="1" applyProtection="1"/>
    <xf numFmtId="0" fontId="11" fillId="0" borderId="1" xfId="0" applyFont="1" applyBorder="1" applyAlignment="1" applyProtection="1">
      <alignment horizontal="center" vertical="center"/>
    </xf>
    <xf numFmtId="164" fontId="16" fillId="0" borderId="1" xfId="0" applyNumberFormat="1" applyFont="1" applyBorder="1" applyAlignment="1" applyProtection="1">
      <alignment horizontal="center" vertical="center" wrapText="1"/>
    </xf>
    <xf numFmtId="164" fontId="16" fillId="0" borderId="1" xfId="0" applyNumberFormat="1" applyFont="1" applyBorder="1" applyAlignment="1" applyProtection="1">
      <alignment horizontal="center" vertical="center"/>
    </xf>
    <xf numFmtId="0" fontId="16" fillId="0" borderId="1" xfId="0" applyFont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left" vertical="center" indent="1"/>
    </xf>
    <xf numFmtId="0" fontId="11" fillId="9" borderId="1" xfId="0" applyFont="1" applyFill="1" applyBorder="1" applyAlignment="1" applyProtection="1">
      <alignment horizontal="center" vertical="center"/>
    </xf>
    <xf numFmtId="0" fontId="17" fillId="0" borderId="1" xfId="0" applyFont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left" vertical="top" wrapText="1"/>
    </xf>
    <xf numFmtId="0" fontId="9" fillId="0" borderId="2" xfId="0" applyFont="1" applyBorder="1" applyAlignment="1" applyProtection="1">
      <alignment horizontal="center" vertical="center"/>
    </xf>
    <xf numFmtId="0" fontId="9" fillId="0" borderId="2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3" fillId="7" borderId="2" xfId="0" applyFont="1" applyFill="1" applyBorder="1" applyAlignment="1" applyProtection="1">
      <alignment horizontal="center" vertical="center" wrapText="1"/>
    </xf>
    <xf numFmtId="0" fontId="9" fillId="7" borderId="2" xfId="0" applyFont="1" applyFill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</xf>
  </cellXfs>
  <cellStyles count="2">
    <cellStyle name="Обычный" xfId="0" builtinId="0"/>
    <cellStyle name="Обычный 2 2" xfId="1" xr:uid="{00000000-0005-0000-0000-000006000000}"/>
  </cellStyles>
  <dxfs count="3">
    <dxf>
      <font>
        <color rgb="FF4F6228"/>
        <name val="Arial"/>
        <charset val="1"/>
      </font>
      <fill>
        <patternFill>
          <bgColor rgb="FFD7E4BD"/>
        </patternFill>
      </fill>
    </dxf>
    <dxf>
      <font>
        <color rgb="FF984807"/>
        <name val="Arial"/>
        <charset val="1"/>
      </font>
      <fill>
        <patternFill>
          <bgColor rgb="FFFFFFAF"/>
        </patternFill>
      </fill>
    </dxf>
    <dxf>
      <font>
        <color rgb="FF953735"/>
        <name val="Arial"/>
        <charset val="1"/>
      </font>
      <fill>
        <patternFill>
          <bgColor rgb="FFF2DCD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3D69B"/>
      <rgbColor rgb="FF808080"/>
      <rgbColor rgb="FF9999FF"/>
      <rgbColor rgb="FF953735"/>
      <rgbColor rgb="FFF2DCDB"/>
      <rgbColor rgb="FFD9D9D9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AF"/>
      <rgbColor rgb="FFB7DEE8"/>
      <rgbColor rgb="FFE6B9B8"/>
      <rgbColor rgb="FFCC99FF"/>
      <rgbColor rgb="FFFFE994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84807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MJ58"/>
  <sheetViews>
    <sheetView zoomScale="65" zoomScaleNormal="65" workbookViewId="0">
      <selection activeCell="B2" sqref="B2"/>
    </sheetView>
  </sheetViews>
  <sheetFormatPr defaultColWidth="7.28515625" defaultRowHeight="12.75"/>
  <cols>
    <col min="1" max="1" width="32.140625" style="1" customWidth="1"/>
    <col min="2" max="2" width="43" style="1" customWidth="1"/>
    <col min="3" max="4" width="7.85546875" style="1" customWidth="1"/>
    <col min="5" max="5" width="8.28515625" style="1" customWidth="1"/>
    <col min="6" max="1024" width="7.28515625" style="1"/>
  </cols>
  <sheetData>
    <row r="2" spans="1:12" ht="15" customHeight="1">
      <c r="A2" s="2" t="s">
        <v>0</v>
      </c>
      <c r="B2" s="3"/>
      <c r="H2" s="73"/>
      <c r="I2" s="73"/>
      <c r="J2" s="73"/>
      <c r="K2" s="73"/>
      <c r="L2" s="73"/>
    </row>
    <row r="3" spans="1:12" ht="15" customHeight="1">
      <c r="A3" s="4" t="s">
        <v>1</v>
      </c>
      <c r="B3" s="5" t="s">
        <v>2</v>
      </c>
    </row>
    <row r="4" spans="1:12" ht="15" customHeight="1">
      <c r="A4" s="4" t="s">
        <v>3</v>
      </c>
      <c r="B4" s="5" t="s">
        <v>4</v>
      </c>
    </row>
    <row r="5" spans="1:12" ht="15" customHeight="1">
      <c r="A5" s="2" t="s">
        <v>5</v>
      </c>
      <c r="B5" s="6" t="s">
        <v>6</v>
      </c>
    </row>
    <row r="6" spans="1:12" ht="15" customHeight="1">
      <c r="A6" s="5" t="s">
        <v>7</v>
      </c>
      <c r="B6" s="5">
        <f>VLOOKUP(B5, Справочник!C4:D89, 2, FALSE())</f>
        <v>14</v>
      </c>
    </row>
    <row r="9" spans="1:12" ht="20.25">
      <c r="A9" s="7" t="s">
        <v>8</v>
      </c>
    </row>
    <row r="11" spans="1:12">
      <c r="A11" s="8" t="s">
        <v>9</v>
      </c>
    </row>
    <row r="12" spans="1:12" ht="33" customHeight="1">
      <c r="A12" s="9" t="s">
        <v>10</v>
      </c>
      <c r="B12" s="9" t="s">
        <v>11</v>
      </c>
      <c r="C12" s="9" t="s">
        <v>12</v>
      </c>
      <c r="D12" s="9" t="s">
        <v>13</v>
      </c>
      <c r="E12" s="9" t="s">
        <v>14</v>
      </c>
    </row>
    <row r="13" spans="1:12" ht="12" customHeight="1">
      <c r="A13" s="10">
        <v>1</v>
      </c>
      <c r="B13" s="10">
        <v>2</v>
      </c>
      <c r="C13" s="10">
        <v>3</v>
      </c>
      <c r="D13" s="10">
        <v>4</v>
      </c>
      <c r="E13" s="10">
        <v>5</v>
      </c>
    </row>
    <row r="14" spans="1:12" ht="24" customHeight="1">
      <c r="A14" s="11" t="s">
        <v>15</v>
      </c>
      <c r="B14" s="11" t="s">
        <v>16</v>
      </c>
      <c r="C14" s="4">
        <v>19</v>
      </c>
      <c r="D14" s="4">
        <v>97</v>
      </c>
      <c r="E14" s="4">
        <v>97</v>
      </c>
    </row>
    <row r="15" spans="1:12" ht="24" customHeight="1">
      <c r="A15" s="11" t="s">
        <v>17</v>
      </c>
      <c r="B15" s="11" t="s">
        <v>18</v>
      </c>
      <c r="C15" s="4">
        <v>1</v>
      </c>
      <c r="D15" s="4">
        <v>30</v>
      </c>
      <c r="E15" s="4">
        <v>30</v>
      </c>
    </row>
    <row r="16" spans="1:12" ht="39" customHeight="1">
      <c r="A16" s="11" t="s">
        <v>19</v>
      </c>
      <c r="B16" s="11" t="s">
        <v>20</v>
      </c>
      <c r="C16" s="4">
        <v>1</v>
      </c>
      <c r="D16" s="4">
        <v>11</v>
      </c>
      <c r="E16" s="4">
        <v>10</v>
      </c>
    </row>
    <row r="17" spans="1:5" ht="39" customHeight="1">
      <c r="A17" s="11" t="s">
        <v>21</v>
      </c>
      <c r="B17" s="11" t="s">
        <v>20</v>
      </c>
      <c r="C17" s="4">
        <v>0</v>
      </c>
      <c r="D17" s="4">
        <v>17</v>
      </c>
      <c r="E17" s="4">
        <v>16</v>
      </c>
    </row>
    <row r="18" spans="1:5" ht="36" hidden="1" customHeight="1">
      <c r="A18" s="11" t="s">
        <v>22</v>
      </c>
      <c r="B18" s="11" t="s">
        <v>23</v>
      </c>
      <c r="C18" s="4">
        <v>0</v>
      </c>
      <c r="D18" s="4">
        <v>5</v>
      </c>
      <c r="E18" s="4">
        <v>5</v>
      </c>
    </row>
    <row r="19" spans="1:5" ht="45" customHeight="1">
      <c r="A19" s="11" t="s">
        <v>24</v>
      </c>
      <c r="B19" s="11" t="s">
        <v>25</v>
      </c>
      <c r="C19" s="4">
        <v>2</v>
      </c>
      <c r="D19" s="4">
        <v>8</v>
      </c>
      <c r="E19" s="4">
        <v>8</v>
      </c>
    </row>
    <row r="21" spans="1:5">
      <c r="A21" s="8" t="s">
        <v>26</v>
      </c>
    </row>
    <row r="22" spans="1:5" ht="33" customHeight="1">
      <c r="A22" s="9" t="s">
        <v>27</v>
      </c>
      <c r="B22" s="9" t="s">
        <v>28</v>
      </c>
      <c r="C22" s="12"/>
      <c r="D22" s="12"/>
      <c r="E22" s="12"/>
    </row>
    <row r="23" spans="1:5" ht="12" customHeight="1">
      <c r="A23" s="10">
        <v>1</v>
      </c>
      <c r="B23" s="10">
        <v>2</v>
      </c>
      <c r="C23" s="12"/>
      <c r="D23" s="12"/>
    </row>
    <row r="24" spans="1:5" ht="15" customHeight="1">
      <c r="A24" s="13" t="s">
        <v>29</v>
      </c>
      <c r="B24" s="13" t="s">
        <v>30</v>
      </c>
      <c r="C24" s="14"/>
      <c r="D24" s="14"/>
    </row>
    <row r="25" spans="1:5" ht="15" customHeight="1">
      <c r="A25" s="13" t="s">
        <v>31</v>
      </c>
      <c r="B25" s="13" t="s">
        <v>32</v>
      </c>
      <c r="C25" s="14"/>
      <c r="D25" s="14"/>
    </row>
    <row r="26" spans="1:5" ht="15" customHeight="1">
      <c r="A26" s="13" t="s">
        <v>33</v>
      </c>
      <c r="B26" s="13" t="s">
        <v>34</v>
      </c>
      <c r="C26" s="14"/>
      <c r="D26" s="14"/>
    </row>
    <row r="27" spans="1:5">
      <c r="A27" s="13" t="s">
        <v>35</v>
      </c>
      <c r="B27" s="13" t="s">
        <v>36</v>
      </c>
    </row>
    <row r="28" spans="1:5">
      <c r="A28" s="13" t="s">
        <v>37</v>
      </c>
      <c r="B28" s="13" t="s">
        <v>38</v>
      </c>
    </row>
    <row r="29" spans="1:5">
      <c r="A29" s="13" t="s">
        <v>39</v>
      </c>
      <c r="B29" s="13" t="s">
        <v>40</v>
      </c>
    </row>
    <row r="30" spans="1:5">
      <c r="A30" s="13" t="s">
        <v>41</v>
      </c>
      <c r="B30" s="13" t="s">
        <v>42</v>
      </c>
    </row>
    <row r="31" spans="1:5">
      <c r="A31" s="13" t="s">
        <v>43</v>
      </c>
      <c r="B31" s="13" t="s">
        <v>44</v>
      </c>
    </row>
    <row r="32" spans="1:5">
      <c r="A32" s="13" t="s">
        <v>45</v>
      </c>
      <c r="B32" s="13" t="s">
        <v>46</v>
      </c>
    </row>
    <row r="33" spans="1:2">
      <c r="A33" s="13" t="s">
        <v>47</v>
      </c>
      <c r="B33" s="13" t="s">
        <v>48</v>
      </c>
    </row>
    <row r="34" spans="1:2">
      <c r="A34" s="13" t="s">
        <v>49</v>
      </c>
      <c r="B34" s="13" t="s">
        <v>50</v>
      </c>
    </row>
    <row r="35" spans="1:2">
      <c r="A35" s="13" t="s">
        <v>51</v>
      </c>
      <c r="B35" s="13" t="s">
        <v>52</v>
      </c>
    </row>
    <row r="36" spans="1:2">
      <c r="A36" s="13" t="s">
        <v>53</v>
      </c>
      <c r="B36" s="13" t="s">
        <v>54</v>
      </c>
    </row>
    <row r="37" spans="1:2">
      <c r="A37" s="13" t="s">
        <v>55</v>
      </c>
      <c r="B37" s="13" t="s">
        <v>56</v>
      </c>
    </row>
    <row r="38" spans="1:2">
      <c r="A38" s="13" t="s">
        <v>57</v>
      </c>
      <c r="B38" s="13" t="s">
        <v>58</v>
      </c>
    </row>
    <row r="39" spans="1:2">
      <c r="A39" s="13" t="s">
        <v>59</v>
      </c>
      <c r="B39" s="13" t="s">
        <v>60</v>
      </c>
    </row>
    <row r="40" spans="1:2">
      <c r="A40" s="13" t="s">
        <v>61</v>
      </c>
      <c r="B40" s="13" t="s">
        <v>62</v>
      </c>
    </row>
    <row r="41" spans="1:2">
      <c r="A41" s="13" t="s">
        <v>63</v>
      </c>
      <c r="B41" s="13" t="s">
        <v>64</v>
      </c>
    </row>
    <row r="42" spans="1:2">
      <c r="A42" s="13" t="s">
        <v>65</v>
      </c>
      <c r="B42" s="13" t="s">
        <v>66</v>
      </c>
    </row>
    <row r="43" spans="1:2">
      <c r="A43" s="13" t="s">
        <v>67</v>
      </c>
      <c r="B43" s="13" t="s">
        <v>68</v>
      </c>
    </row>
    <row r="44" spans="1:2">
      <c r="A44" s="13" t="s">
        <v>69</v>
      </c>
      <c r="B44" s="13" t="s">
        <v>70</v>
      </c>
    </row>
    <row r="45" spans="1:2">
      <c r="A45" s="13" t="s">
        <v>71</v>
      </c>
      <c r="B45" s="13" t="s">
        <v>72</v>
      </c>
    </row>
    <row r="46" spans="1:2">
      <c r="A46" s="13" t="s">
        <v>73</v>
      </c>
      <c r="B46" s="13" t="s">
        <v>74</v>
      </c>
    </row>
    <row r="47" spans="1:2">
      <c r="A47" s="13" t="s">
        <v>75</v>
      </c>
      <c r="B47" s="13" t="s">
        <v>76</v>
      </c>
    </row>
    <row r="48" spans="1:2">
      <c r="A48" s="13" t="s">
        <v>77</v>
      </c>
      <c r="B48" s="13" t="s">
        <v>78</v>
      </c>
    </row>
    <row r="49" spans="1:2">
      <c r="A49" s="13" t="s">
        <v>79</v>
      </c>
      <c r="B49" s="13" t="s">
        <v>80</v>
      </c>
    </row>
    <row r="50" spans="1:2">
      <c r="A50" s="13" t="s">
        <v>81</v>
      </c>
      <c r="B50" s="13" t="s">
        <v>82</v>
      </c>
    </row>
    <row r="51" spans="1:2">
      <c r="A51" s="13" t="s">
        <v>83</v>
      </c>
      <c r="B51" s="13" t="s">
        <v>84</v>
      </c>
    </row>
    <row r="52" spans="1:2">
      <c r="A52" s="13" t="s">
        <v>85</v>
      </c>
      <c r="B52" s="13" t="s">
        <v>86</v>
      </c>
    </row>
    <row r="53" spans="1:2">
      <c r="A53" s="13" t="s">
        <v>87</v>
      </c>
      <c r="B53" s="13" t="s">
        <v>88</v>
      </c>
    </row>
    <row r="54" spans="1:2">
      <c r="A54" s="13" t="s">
        <v>89</v>
      </c>
      <c r="B54" s="13" t="s">
        <v>90</v>
      </c>
    </row>
    <row r="55" spans="1:2" ht="12.75" customHeight="1">
      <c r="A55" s="74" t="s">
        <v>91</v>
      </c>
      <c r="B55" s="74" t="s">
        <v>28</v>
      </c>
    </row>
    <row r="56" spans="1:2">
      <c r="A56" s="74"/>
      <c r="B56" s="74"/>
    </row>
    <row r="57" spans="1:2">
      <c r="A57" s="16" t="s">
        <v>92</v>
      </c>
      <c r="B57" s="16" t="s">
        <v>93</v>
      </c>
    </row>
    <row r="58" spans="1:2">
      <c r="A58" s="13" t="s">
        <v>94</v>
      </c>
      <c r="B58" s="13" t="s">
        <v>95</v>
      </c>
    </row>
  </sheetData>
  <mergeCells count="3">
    <mergeCell ref="H2:L2"/>
    <mergeCell ref="A55:A56"/>
    <mergeCell ref="B55:B56"/>
  </mergeCells>
  <pageMargins left="0.78749999999999998" right="0.78749999999999998" top="0.74791666666666701" bottom="0.7479166666666670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MJ89"/>
  <sheetViews>
    <sheetView zoomScale="65" zoomScaleNormal="65" workbookViewId="0">
      <selection activeCellId="1" sqref="D9:S41 A1"/>
    </sheetView>
  </sheetViews>
  <sheetFormatPr defaultColWidth="7.28515625" defaultRowHeight="12.75"/>
  <cols>
    <col min="1" max="2" width="7.28515625" style="17"/>
    <col min="3" max="3" width="46.42578125" style="17" customWidth="1"/>
    <col min="4" max="4" width="13.140625" style="17" customWidth="1"/>
    <col min="5" max="7" width="7.28515625" style="17"/>
    <col min="8" max="8" width="15.28515625" style="17" customWidth="1"/>
    <col min="9" max="1024" width="7.28515625" style="17"/>
  </cols>
  <sheetData>
    <row r="3" spans="3:8" ht="25.5">
      <c r="C3" s="18" t="s">
        <v>96</v>
      </c>
      <c r="D3" s="19" t="s">
        <v>97</v>
      </c>
    </row>
    <row r="4" spans="3:8">
      <c r="C4" s="20" t="s">
        <v>98</v>
      </c>
      <c r="D4" s="20">
        <v>1</v>
      </c>
      <c r="H4" s="17" t="s">
        <v>99</v>
      </c>
    </row>
    <row r="5" spans="3:8">
      <c r="C5" s="20" t="s">
        <v>100</v>
      </c>
      <c r="D5" s="20">
        <v>2</v>
      </c>
      <c r="H5" s="17" t="s">
        <v>101</v>
      </c>
    </row>
    <row r="6" spans="3:8">
      <c r="C6" s="20" t="s">
        <v>102</v>
      </c>
      <c r="D6" s="20">
        <v>3</v>
      </c>
      <c r="H6" s="17" t="s">
        <v>103</v>
      </c>
    </row>
    <row r="7" spans="3:8">
      <c r="C7" s="20" t="s">
        <v>104</v>
      </c>
      <c r="D7" s="20">
        <v>4</v>
      </c>
    </row>
    <row r="8" spans="3:8">
      <c r="C8" s="20" t="s">
        <v>105</v>
      </c>
      <c r="D8" s="20">
        <v>5</v>
      </c>
    </row>
    <row r="9" spans="3:8">
      <c r="C9" s="20" t="s">
        <v>106</v>
      </c>
      <c r="D9" s="20">
        <v>6</v>
      </c>
    </row>
    <row r="10" spans="3:8">
      <c r="C10" s="20" t="s">
        <v>107</v>
      </c>
      <c r="D10" s="20">
        <v>7</v>
      </c>
    </row>
    <row r="11" spans="3:8">
      <c r="C11" s="20" t="s">
        <v>108</v>
      </c>
      <c r="D11" s="20">
        <v>8</v>
      </c>
    </row>
    <row r="12" spans="3:8">
      <c r="C12" s="20" t="s">
        <v>109</v>
      </c>
      <c r="D12" s="20">
        <v>9</v>
      </c>
    </row>
    <row r="13" spans="3:8">
      <c r="C13" s="20" t="s">
        <v>110</v>
      </c>
      <c r="D13" s="20">
        <v>10</v>
      </c>
    </row>
    <row r="14" spans="3:8">
      <c r="C14" s="20" t="s">
        <v>111</v>
      </c>
      <c r="D14" s="20">
        <v>11</v>
      </c>
    </row>
    <row r="15" spans="3:8">
      <c r="C15" s="20" t="s">
        <v>112</v>
      </c>
      <c r="D15" s="20">
        <v>12</v>
      </c>
    </row>
    <row r="16" spans="3:8">
      <c r="C16" s="20" t="s">
        <v>113</v>
      </c>
      <c r="D16" s="20">
        <v>13</v>
      </c>
    </row>
    <row r="17" spans="3:4">
      <c r="C17" s="20" t="s">
        <v>6</v>
      </c>
      <c r="D17" s="20">
        <v>14</v>
      </c>
    </row>
    <row r="18" spans="3:4">
      <c r="C18" s="20" t="s">
        <v>114</v>
      </c>
      <c r="D18" s="20">
        <v>15</v>
      </c>
    </row>
    <row r="19" spans="3:4">
      <c r="C19" s="20" t="s">
        <v>115</v>
      </c>
      <c r="D19" s="20">
        <v>16</v>
      </c>
    </row>
    <row r="20" spans="3:4">
      <c r="C20" s="20" t="s">
        <v>116</v>
      </c>
      <c r="D20" s="20">
        <v>17</v>
      </c>
    </row>
    <row r="21" spans="3:4">
      <c r="C21" s="20" t="s">
        <v>117</v>
      </c>
      <c r="D21" s="20">
        <v>18</v>
      </c>
    </row>
    <row r="22" spans="3:4">
      <c r="C22" s="20" t="s">
        <v>118</v>
      </c>
      <c r="D22" s="20">
        <v>19</v>
      </c>
    </row>
    <row r="23" spans="3:4">
      <c r="C23" s="20" t="s">
        <v>119</v>
      </c>
      <c r="D23" s="20">
        <v>20</v>
      </c>
    </row>
    <row r="24" spans="3:4">
      <c r="C24" s="20" t="s">
        <v>120</v>
      </c>
      <c r="D24" s="20">
        <v>21</v>
      </c>
    </row>
    <row r="25" spans="3:4">
      <c r="C25" s="20" t="s">
        <v>121</v>
      </c>
      <c r="D25" s="20">
        <v>22</v>
      </c>
    </row>
    <row r="26" spans="3:4">
      <c r="C26" s="20" t="s">
        <v>122</v>
      </c>
      <c r="D26" s="20">
        <v>23</v>
      </c>
    </row>
    <row r="27" spans="3:4">
      <c r="C27" s="20" t="s">
        <v>123</v>
      </c>
      <c r="D27" s="20">
        <v>24</v>
      </c>
    </row>
    <row r="28" spans="3:4">
      <c r="C28" s="20" t="s">
        <v>124</v>
      </c>
      <c r="D28" s="20">
        <v>25</v>
      </c>
    </row>
    <row r="29" spans="3:4">
      <c r="C29" s="20" t="s">
        <v>125</v>
      </c>
      <c r="D29" s="20">
        <v>26</v>
      </c>
    </row>
    <row r="30" spans="3:4">
      <c r="C30" s="20" t="s">
        <v>126</v>
      </c>
      <c r="D30" s="20">
        <v>27</v>
      </c>
    </row>
    <row r="31" spans="3:4">
      <c r="C31" s="20" t="s">
        <v>127</v>
      </c>
      <c r="D31" s="20">
        <v>28</v>
      </c>
    </row>
    <row r="32" spans="3:4">
      <c r="C32" s="20" t="s">
        <v>128</v>
      </c>
      <c r="D32" s="20">
        <v>29</v>
      </c>
    </row>
    <row r="33" spans="3:4">
      <c r="C33" s="20" t="s">
        <v>129</v>
      </c>
      <c r="D33" s="20">
        <v>30</v>
      </c>
    </row>
    <row r="34" spans="3:4">
      <c r="C34" s="20" t="s">
        <v>130</v>
      </c>
      <c r="D34" s="20">
        <v>31</v>
      </c>
    </row>
    <row r="35" spans="3:4">
      <c r="C35" s="20" t="s">
        <v>131</v>
      </c>
      <c r="D35" s="20">
        <v>32</v>
      </c>
    </row>
    <row r="36" spans="3:4">
      <c r="C36" s="20" t="s">
        <v>132</v>
      </c>
      <c r="D36" s="20">
        <v>33</v>
      </c>
    </row>
    <row r="37" spans="3:4">
      <c r="C37" s="20" t="s">
        <v>133</v>
      </c>
      <c r="D37" s="20">
        <v>34</v>
      </c>
    </row>
    <row r="38" spans="3:4">
      <c r="C38" s="20" t="s">
        <v>134</v>
      </c>
      <c r="D38" s="20">
        <v>35</v>
      </c>
    </row>
    <row r="39" spans="3:4">
      <c r="C39" s="20" t="s">
        <v>135</v>
      </c>
      <c r="D39" s="20">
        <v>36</v>
      </c>
    </row>
    <row r="40" spans="3:4">
      <c r="C40" s="20" t="s">
        <v>136</v>
      </c>
      <c r="D40" s="20">
        <v>37</v>
      </c>
    </row>
    <row r="41" spans="3:4">
      <c r="C41" s="20" t="s">
        <v>137</v>
      </c>
      <c r="D41" s="20">
        <v>38</v>
      </c>
    </row>
    <row r="42" spans="3:4">
      <c r="C42" s="20" t="s">
        <v>138</v>
      </c>
      <c r="D42" s="20">
        <v>39</v>
      </c>
    </row>
    <row r="43" spans="3:4">
      <c r="C43" s="20" t="s">
        <v>139</v>
      </c>
      <c r="D43" s="20">
        <v>40</v>
      </c>
    </row>
    <row r="44" spans="3:4">
      <c r="C44" s="20" t="s">
        <v>140</v>
      </c>
      <c r="D44" s="20">
        <v>41</v>
      </c>
    </row>
    <row r="45" spans="3:4">
      <c r="C45" s="20" t="s">
        <v>141</v>
      </c>
      <c r="D45" s="20">
        <v>42</v>
      </c>
    </row>
    <row r="46" spans="3:4">
      <c r="C46" s="20" t="s">
        <v>142</v>
      </c>
      <c r="D46" s="20">
        <v>43</v>
      </c>
    </row>
    <row r="47" spans="3:4">
      <c r="C47" s="20" t="s">
        <v>143</v>
      </c>
      <c r="D47" s="20">
        <v>44</v>
      </c>
    </row>
    <row r="48" spans="3:4">
      <c r="C48" s="20" t="s">
        <v>144</v>
      </c>
      <c r="D48" s="20">
        <v>45</v>
      </c>
    </row>
    <row r="49" spans="3:4">
      <c r="C49" s="20" t="s">
        <v>145</v>
      </c>
      <c r="D49" s="20">
        <v>46</v>
      </c>
    </row>
    <row r="50" spans="3:4">
      <c r="C50" s="20" t="s">
        <v>146</v>
      </c>
      <c r="D50" s="20">
        <v>47</v>
      </c>
    </row>
    <row r="51" spans="3:4">
      <c r="C51" s="20" t="s">
        <v>147</v>
      </c>
      <c r="D51" s="20">
        <v>48</v>
      </c>
    </row>
    <row r="52" spans="3:4">
      <c r="C52" s="20" t="s">
        <v>148</v>
      </c>
      <c r="D52" s="20">
        <v>49</v>
      </c>
    </row>
    <row r="53" spans="3:4">
      <c r="C53" s="20" t="s">
        <v>149</v>
      </c>
      <c r="D53" s="20">
        <v>50</v>
      </c>
    </row>
    <row r="54" spans="3:4">
      <c r="C54" s="20" t="s">
        <v>150</v>
      </c>
      <c r="D54" s="20">
        <v>51</v>
      </c>
    </row>
    <row r="55" spans="3:4">
      <c r="C55" s="20" t="s">
        <v>151</v>
      </c>
      <c r="D55" s="20">
        <v>52</v>
      </c>
    </row>
    <row r="56" spans="3:4">
      <c r="C56" s="20" t="s">
        <v>152</v>
      </c>
      <c r="D56" s="20">
        <v>53</v>
      </c>
    </row>
    <row r="57" spans="3:4">
      <c r="C57" s="20" t="s">
        <v>153</v>
      </c>
      <c r="D57" s="20">
        <v>54</v>
      </c>
    </row>
    <row r="58" spans="3:4">
      <c r="C58" s="20" t="s">
        <v>154</v>
      </c>
      <c r="D58" s="20">
        <v>55</v>
      </c>
    </row>
    <row r="59" spans="3:4">
      <c r="C59" s="20" t="s">
        <v>155</v>
      </c>
      <c r="D59" s="20">
        <v>56</v>
      </c>
    </row>
    <row r="60" spans="3:4">
      <c r="C60" s="20" t="s">
        <v>156</v>
      </c>
      <c r="D60" s="20">
        <v>57</v>
      </c>
    </row>
    <row r="61" spans="3:4">
      <c r="C61" s="20" t="s">
        <v>157</v>
      </c>
      <c r="D61" s="20">
        <v>58</v>
      </c>
    </row>
    <row r="62" spans="3:4">
      <c r="C62" s="20" t="s">
        <v>158</v>
      </c>
      <c r="D62" s="20">
        <v>59</v>
      </c>
    </row>
    <row r="63" spans="3:4">
      <c r="C63" s="20" t="s">
        <v>159</v>
      </c>
      <c r="D63" s="20">
        <v>60</v>
      </c>
    </row>
    <row r="64" spans="3:4">
      <c r="C64" s="20" t="s">
        <v>160</v>
      </c>
      <c r="D64" s="20">
        <v>61</v>
      </c>
    </row>
    <row r="65" spans="3:4">
      <c r="C65" s="20" t="s">
        <v>161</v>
      </c>
      <c r="D65" s="20">
        <v>62</v>
      </c>
    </row>
    <row r="66" spans="3:4">
      <c r="C66" s="20" t="s">
        <v>162</v>
      </c>
      <c r="D66" s="20">
        <v>63</v>
      </c>
    </row>
    <row r="67" spans="3:4">
      <c r="C67" s="20" t="s">
        <v>163</v>
      </c>
      <c r="D67" s="20">
        <v>64</v>
      </c>
    </row>
    <row r="68" spans="3:4">
      <c r="C68" s="20" t="s">
        <v>164</v>
      </c>
      <c r="D68" s="20">
        <v>65</v>
      </c>
    </row>
    <row r="69" spans="3:4">
      <c r="C69" s="20" t="s">
        <v>165</v>
      </c>
      <c r="D69" s="20">
        <v>66</v>
      </c>
    </row>
    <row r="70" spans="3:4">
      <c r="C70" s="20" t="s">
        <v>166</v>
      </c>
      <c r="D70" s="20">
        <v>67</v>
      </c>
    </row>
    <row r="71" spans="3:4">
      <c r="C71" s="20" t="s">
        <v>167</v>
      </c>
      <c r="D71" s="20">
        <v>68</v>
      </c>
    </row>
    <row r="72" spans="3:4">
      <c r="C72" s="20" t="s">
        <v>168</v>
      </c>
      <c r="D72" s="20">
        <v>69</v>
      </c>
    </row>
    <row r="73" spans="3:4">
      <c r="C73" s="20" t="s">
        <v>169</v>
      </c>
      <c r="D73" s="20">
        <v>70</v>
      </c>
    </row>
    <row r="74" spans="3:4">
      <c r="C74" s="20" t="s">
        <v>170</v>
      </c>
      <c r="D74" s="20">
        <v>71</v>
      </c>
    </row>
    <row r="75" spans="3:4">
      <c r="C75" s="20" t="s">
        <v>171</v>
      </c>
      <c r="D75" s="20">
        <v>72</v>
      </c>
    </row>
    <row r="76" spans="3:4">
      <c r="C76" s="20" t="s">
        <v>172</v>
      </c>
      <c r="D76" s="20">
        <v>73</v>
      </c>
    </row>
    <row r="77" spans="3:4">
      <c r="C77" s="20" t="s">
        <v>173</v>
      </c>
      <c r="D77" s="20">
        <v>74</v>
      </c>
    </row>
    <row r="78" spans="3:4">
      <c r="C78" s="20" t="s">
        <v>174</v>
      </c>
      <c r="D78" s="20">
        <v>75</v>
      </c>
    </row>
    <row r="79" spans="3:4">
      <c r="C79" s="20" t="s">
        <v>175</v>
      </c>
      <c r="D79" s="20">
        <v>76</v>
      </c>
    </row>
    <row r="80" spans="3:4">
      <c r="C80" s="20" t="s">
        <v>176</v>
      </c>
      <c r="D80" s="20">
        <v>77</v>
      </c>
    </row>
    <row r="81" spans="3:4">
      <c r="C81" s="20" t="s">
        <v>177</v>
      </c>
      <c r="D81" s="20">
        <v>78</v>
      </c>
    </row>
    <row r="82" spans="3:4">
      <c r="C82" s="20" t="s">
        <v>178</v>
      </c>
      <c r="D82" s="20">
        <v>79</v>
      </c>
    </row>
    <row r="83" spans="3:4">
      <c r="C83" s="20" t="s">
        <v>179</v>
      </c>
      <c r="D83" s="20">
        <v>83</v>
      </c>
    </row>
    <row r="84" spans="3:4">
      <c r="C84" s="20" t="s">
        <v>180</v>
      </c>
      <c r="D84" s="20">
        <v>86</v>
      </c>
    </row>
    <row r="85" spans="3:4">
      <c r="C85" s="20" t="s">
        <v>181</v>
      </c>
      <c r="D85" s="20">
        <v>87</v>
      </c>
    </row>
    <row r="86" spans="3:4">
      <c r="C86" s="20" t="s">
        <v>182</v>
      </c>
      <c r="D86" s="20">
        <v>89</v>
      </c>
    </row>
    <row r="87" spans="3:4">
      <c r="C87" s="20" t="s">
        <v>183</v>
      </c>
      <c r="D87" s="20">
        <v>91</v>
      </c>
    </row>
    <row r="88" spans="3:4">
      <c r="C88" s="20" t="s">
        <v>184</v>
      </c>
      <c r="D88" s="20">
        <v>92</v>
      </c>
    </row>
    <row r="89" spans="3:4">
      <c r="C89" s="20" t="s">
        <v>185</v>
      </c>
      <c r="D89" s="20">
        <v>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MJ16"/>
  <sheetViews>
    <sheetView zoomScale="65" zoomScaleNormal="65" workbookViewId="0">
      <selection activeCell="N30" sqref="N30"/>
    </sheetView>
  </sheetViews>
  <sheetFormatPr defaultColWidth="7.28515625" defaultRowHeight="12.75"/>
  <cols>
    <col min="1" max="1" width="27.140625" style="1" customWidth="1"/>
    <col min="2" max="2" width="7" style="1" customWidth="1"/>
    <col min="3" max="3" width="6" style="1" customWidth="1"/>
    <col min="4" max="4" width="7.85546875" style="1" customWidth="1"/>
    <col min="5" max="11" width="6" style="1" customWidth="1"/>
    <col min="12" max="1024" width="7.28515625" style="1"/>
  </cols>
  <sheetData>
    <row r="2" spans="1:11" ht="20.25">
      <c r="A2" s="7" t="s">
        <v>186</v>
      </c>
    </row>
    <row r="4" spans="1:11">
      <c r="A4" s="8" t="s">
        <v>187</v>
      </c>
    </row>
    <row r="5" spans="1:11" ht="15" customHeight="1">
      <c r="A5" s="74" t="s">
        <v>188</v>
      </c>
      <c r="B5" s="74" t="s">
        <v>189</v>
      </c>
      <c r="C5" s="74"/>
      <c r="D5" s="74"/>
      <c r="E5" s="74"/>
      <c r="F5" s="74"/>
      <c r="G5" s="74" t="s">
        <v>190</v>
      </c>
      <c r="H5" s="74"/>
      <c r="I5" s="74"/>
      <c r="J5" s="74"/>
      <c r="K5" s="74"/>
    </row>
    <row r="6" spans="1:11" ht="27" customHeight="1">
      <c r="A6" s="74"/>
      <c r="B6" s="15" t="s">
        <v>191</v>
      </c>
      <c r="C6" s="21" t="s">
        <v>192</v>
      </c>
      <c r="D6" s="21" t="s">
        <v>193</v>
      </c>
      <c r="E6" s="21" t="s">
        <v>194</v>
      </c>
      <c r="F6" s="21" t="s">
        <v>195</v>
      </c>
      <c r="G6" s="15" t="s">
        <v>191</v>
      </c>
      <c r="H6" s="21" t="s">
        <v>196</v>
      </c>
      <c r="I6" s="21" t="s">
        <v>197</v>
      </c>
      <c r="J6" s="21" t="s">
        <v>198</v>
      </c>
      <c r="K6" s="21" t="s">
        <v>199</v>
      </c>
    </row>
    <row r="7" spans="1:11" ht="12" customHeight="1">
      <c r="A7" s="22">
        <v>1</v>
      </c>
      <c r="B7" s="22">
        <v>2</v>
      </c>
      <c r="C7" s="22">
        <v>3</v>
      </c>
      <c r="D7" s="22">
        <v>4</v>
      </c>
      <c r="E7" s="22">
        <v>5</v>
      </c>
      <c r="F7" s="22">
        <v>6</v>
      </c>
      <c r="G7" s="22">
        <v>7</v>
      </c>
      <c r="H7" s="22">
        <v>8</v>
      </c>
      <c r="I7" s="22">
        <v>9</v>
      </c>
      <c r="J7" s="22">
        <v>10</v>
      </c>
      <c r="K7" s="22">
        <v>11</v>
      </c>
    </row>
    <row r="8" spans="1:11" s="25" customFormat="1" ht="30" customHeight="1">
      <c r="A8" s="23" t="s">
        <v>200</v>
      </c>
      <c r="B8" s="24">
        <v>215.3768347095</v>
      </c>
      <c r="C8" s="24">
        <v>0</v>
      </c>
      <c r="D8" s="24">
        <v>113.402871200413</v>
      </c>
      <c r="E8" s="24">
        <v>99.931944916155402</v>
      </c>
      <c r="F8" s="24">
        <v>2.0420185929318202</v>
      </c>
      <c r="G8" s="24">
        <v>174.602822422884</v>
      </c>
      <c r="H8" s="24">
        <v>53.265000000000001</v>
      </c>
      <c r="I8" s="24">
        <v>58.872</v>
      </c>
      <c r="J8" s="24">
        <v>22.052</v>
      </c>
      <c r="K8" s="24">
        <v>0.6</v>
      </c>
    </row>
    <row r="9" spans="1:11" s="25" customFormat="1" ht="30" customHeight="1">
      <c r="A9" s="26" t="s">
        <v>201</v>
      </c>
      <c r="B9" s="24">
        <v>140.35499999999999</v>
      </c>
      <c r="C9" s="24">
        <v>0</v>
      </c>
      <c r="D9" s="24">
        <v>77.361999999999995</v>
      </c>
      <c r="E9" s="24">
        <v>61.917000000000002</v>
      </c>
      <c r="F9" s="24">
        <v>1.0760000000000001</v>
      </c>
      <c r="G9" s="24">
        <v>88.489000000000004</v>
      </c>
      <c r="H9" s="24">
        <v>25.872</v>
      </c>
      <c r="I9" s="24">
        <v>44.993000000000002</v>
      </c>
      <c r="J9" s="24">
        <v>17.623999999999999</v>
      </c>
      <c r="K9" s="24">
        <v>0</v>
      </c>
    </row>
    <row r="10" spans="1:1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>
      <c r="A11" s="27" t="s">
        <v>202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5" customHeight="1">
      <c r="A12" s="74" t="s">
        <v>188</v>
      </c>
      <c r="B12" s="74" t="s">
        <v>189</v>
      </c>
      <c r="C12" s="74"/>
      <c r="D12" s="74"/>
      <c r="E12" s="74"/>
      <c r="F12" s="74"/>
      <c r="G12" s="74" t="s">
        <v>190</v>
      </c>
      <c r="H12" s="74"/>
      <c r="I12" s="74"/>
      <c r="J12" s="74"/>
      <c r="K12" s="74"/>
    </row>
    <row r="13" spans="1:11" ht="27" customHeight="1">
      <c r="A13" s="74"/>
      <c r="B13" s="15" t="s">
        <v>191</v>
      </c>
      <c r="C13" s="21" t="s">
        <v>192</v>
      </c>
      <c r="D13" s="21" t="s">
        <v>193</v>
      </c>
      <c r="E13" s="21" t="s">
        <v>194</v>
      </c>
      <c r="F13" s="21" t="s">
        <v>195</v>
      </c>
      <c r="G13" s="15" t="s">
        <v>191</v>
      </c>
      <c r="H13" s="21" t="s">
        <v>196</v>
      </c>
      <c r="I13" s="21" t="s">
        <v>197</v>
      </c>
      <c r="J13" s="21" t="s">
        <v>198</v>
      </c>
      <c r="K13" s="21" t="s">
        <v>199</v>
      </c>
    </row>
    <row r="14" spans="1:11" ht="12" customHeight="1">
      <c r="A14" s="22">
        <v>1</v>
      </c>
      <c r="B14" s="22">
        <v>2</v>
      </c>
      <c r="C14" s="22">
        <v>3</v>
      </c>
      <c r="D14" s="22">
        <v>4</v>
      </c>
      <c r="E14" s="22">
        <v>5</v>
      </c>
      <c r="F14" s="22">
        <v>6</v>
      </c>
      <c r="G14" s="22">
        <v>7</v>
      </c>
      <c r="H14" s="22">
        <v>8</v>
      </c>
      <c r="I14" s="22">
        <v>9</v>
      </c>
      <c r="J14" s="22">
        <v>10</v>
      </c>
      <c r="K14" s="22">
        <v>11</v>
      </c>
    </row>
    <row r="15" spans="1:11" s="25" customFormat="1" ht="30" customHeight="1">
      <c r="A15" s="28" t="s">
        <v>203</v>
      </c>
      <c r="B15" s="24">
        <v>12.1501618717718</v>
      </c>
      <c r="C15" s="24">
        <v>0</v>
      </c>
      <c r="D15" s="24">
        <v>7.2031300908336897</v>
      </c>
      <c r="E15" s="24">
        <v>5.2624729283895899</v>
      </c>
      <c r="F15" s="24">
        <v>8.4558852548560604E-2</v>
      </c>
      <c r="G15" s="24">
        <v>11.5493009356261</v>
      </c>
      <c r="H15" s="24">
        <v>2.7349999999999999</v>
      </c>
      <c r="I15" s="24">
        <v>8.8143009356261004</v>
      </c>
      <c r="J15" s="24">
        <v>0</v>
      </c>
      <c r="K15" s="24">
        <v>0</v>
      </c>
    </row>
    <row r="16" spans="1:11" s="25" customFormat="1" ht="30" customHeight="1">
      <c r="A16" s="26" t="s">
        <v>201</v>
      </c>
      <c r="B16" s="24">
        <v>10.994</v>
      </c>
      <c r="C16" s="24">
        <v>0</v>
      </c>
      <c r="D16" s="24">
        <v>6.3259999999999996</v>
      </c>
      <c r="E16" s="24">
        <v>4.9950000000000001</v>
      </c>
      <c r="F16" s="24">
        <v>7.2999999999999995E-2</v>
      </c>
      <c r="G16" s="24">
        <v>6.9080000000000004</v>
      </c>
      <c r="H16" s="24">
        <v>0.33300000000000002</v>
      </c>
      <c r="I16" s="24">
        <v>6.5750000000000002</v>
      </c>
      <c r="J16" s="24">
        <v>0</v>
      </c>
      <c r="K16" s="24">
        <v>0</v>
      </c>
    </row>
  </sheetData>
  <mergeCells count="6">
    <mergeCell ref="A5:A6"/>
    <mergeCell ref="B5:F5"/>
    <mergeCell ref="G5:K5"/>
    <mergeCell ref="A12:A13"/>
    <mergeCell ref="B12:F12"/>
    <mergeCell ref="G12:K12"/>
  </mergeCells>
  <pageMargins left="0.98402777777777795" right="0.98402777777777795" top="0.74791666666666701" bottom="0.7479166666666670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MJ41"/>
  <sheetViews>
    <sheetView zoomScale="65" zoomScaleNormal="65" workbookViewId="0">
      <selection activeCell="B9" sqref="B9:B41"/>
    </sheetView>
  </sheetViews>
  <sheetFormatPr defaultColWidth="7.28515625" defaultRowHeight="12.75"/>
  <cols>
    <col min="1" max="1" width="25.28515625" style="1" customWidth="1"/>
    <col min="2" max="2" width="30.7109375" style="1" customWidth="1"/>
    <col min="3" max="3" width="24.42578125" style="1" customWidth="1"/>
    <col min="4" max="4" width="7.42578125" style="1" customWidth="1"/>
    <col min="5" max="6" width="5.28515625" style="1" customWidth="1"/>
    <col min="7" max="7" width="5.140625" style="1" customWidth="1"/>
    <col min="8" max="8" width="6" style="1" customWidth="1"/>
    <col min="9" max="9" width="5.140625" style="1" customWidth="1"/>
    <col min="10" max="10" width="5.5703125" style="1" customWidth="1"/>
    <col min="11" max="11" width="6" style="1" customWidth="1"/>
    <col min="12" max="12" width="5.42578125" style="1" customWidth="1"/>
    <col min="13" max="14" width="5.7109375" style="1" customWidth="1"/>
    <col min="15" max="15" width="5.28515625" style="1" customWidth="1"/>
    <col min="16" max="16" width="5.5703125" style="1" customWidth="1"/>
    <col min="17" max="17" width="4.85546875" style="1" customWidth="1"/>
    <col min="18" max="19" width="5.140625" style="1" customWidth="1"/>
    <col min="20" max="20" width="5.28515625" style="1" customWidth="1"/>
    <col min="21" max="21" width="6" style="1" customWidth="1"/>
    <col min="22" max="22" width="5.140625" style="1" customWidth="1"/>
    <col min="23" max="23" width="4.85546875" style="1" customWidth="1"/>
    <col min="24" max="24" width="5.5703125" style="1" customWidth="1"/>
    <col min="25" max="25" width="7" style="1" customWidth="1"/>
    <col min="26" max="26" width="5.7109375" style="1" customWidth="1"/>
    <col min="27" max="27" width="7.7109375" style="1" customWidth="1"/>
    <col min="28" max="1024" width="7.28515625" style="1"/>
  </cols>
  <sheetData>
    <row r="2" spans="1:27" ht="48" customHeight="1">
      <c r="A2" s="75" t="s">
        <v>204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4" spans="1:27">
      <c r="A4" s="1" t="s">
        <v>205</v>
      </c>
    </row>
    <row r="5" spans="1:27" ht="18" customHeight="1">
      <c r="A5" s="74" t="s">
        <v>206</v>
      </c>
      <c r="B5" s="74" t="s">
        <v>11</v>
      </c>
      <c r="C5" s="74" t="s">
        <v>207</v>
      </c>
      <c r="D5" s="76" t="s">
        <v>208</v>
      </c>
      <c r="E5" s="76"/>
      <c r="F5" s="76"/>
      <c r="G5" s="76"/>
      <c r="H5" s="76"/>
      <c r="I5" s="76"/>
      <c r="J5" s="76"/>
      <c r="K5" s="76"/>
      <c r="L5" s="77" t="s">
        <v>209</v>
      </c>
      <c r="M5" s="77"/>
      <c r="N5" s="77"/>
      <c r="O5" s="77"/>
      <c r="P5" s="77"/>
      <c r="Q5" s="77"/>
      <c r="R5" s="77"/>
      <c r="S5" s="77"/>
      <c r="T5" s="77" t="s">
        <v>210</v>
      </c>
      <c r="U5" s="77"/>
      <c r="V5" s="77"/>
      <c r="W5" s="77"/>
      <c r="X5" s="77"/>
      <c r="Y5" s="77"/>
      <c r="Z5" s="77"/>
      <c r="AA5" s="77"/>
    </row>
    <row r="6" spans="1:27" ht="18" customHeight="1">
      <c r="A6" s="74"/>
      <c r="B6" s="74"/>
      <c r="C6" s="74"/>
      <c r="D6" s="76" t="s">
        <v>189</v>
      </c>
      <c r="E6" s="76"/>
      <c r="F6" s="76"/>
      <c r="G6" s="76"/>
      <c r="H6" s="76" t="s">
        <v>211</v>
      </c>
      <c r="I6" s="76"/>
      <c r="J6" s="76"/>
      <c r="K6" s="76"/>
      <c r="L6" s="76" t="s">
        <v>189</v>
      </c>
      <c r="M6" s="76"/>
      <c r="N6" s="76"/>
      <c r="O6" s="76"/>
      <c r="P6" s="76" t="s">
        <v>211</v>
      </c>
      <c r="Q6" s="76"/>
      <c r="R6" s="76"/>
      <c r="S6" s="76"/>
      <c r="T6" s="76" t="s">
        <v>189</v>
      </c>
      <c r="U6" s="76"/>
      <c r="V6" s="76"/>
      <c r="W6" s="76"/>
      <c r="X6" s="76" t="s">
        <v>211</v>
      </c>
      <c r="Y6" s="76"/>
      <c r="Z6" s="76"/>
      <c r="AA6" s="76"/>
    </row>
    <row r="7" spans="1:27" ht="27" customHeight="1">
      <c r="A7" s="74"/>
      <c r="B7" s="74"/>
      <c r="C7" s="74"/>
      <c r="D7" s="21" t="s">
        <v>192</v>
      </c>
      <c r="E7" s="21" t="s">
        <v>193</v>
      </c>
      <c r="F7" s="21" t="s">
        <v>194</v>
      </c>
      <c r="G7" s="21" t="s">
        <v>195</v>
      </c>
      <c r="H7" s="21" t="s">
        <v>196</v>
      </c>
      <c r="I7" s="21" t="s">
        <v>197</v>
      </c>
      <c r="J7" s="21" t="s">
        <v>198</v>
      </c>
      <c r="K7" s="21" t="s">
        <v>199</v>
      </c>
      <c r="L7" s="21" t="s">
        <v>192</v>
      </c>
      <c r="M7" s="21" t="s">
        <v>193</v>
      </c>
      <c r="N7" s="21" t="s">
        <v>194</v>
      </c>
      <c r="O7" s="21" t="s">
        <v>195</v>
      </c>
      <c r="P7" s="21" t="s">
        <v>196</v>
      </c>
      <c r="Q7" s="21" t="s">
        <v>197</v>
      </c>
      <c r="R7" s="21" t="s">
        <v>198</v>
      </c>
      <c r="S7" s="21" t="s">
        <v>199</v>
      </c>
      <c r="T7" s="21" t="s">
        <v>192</v>
      </c>
      <c r="U7" s="21" t="s">
        <v>193</v>
      </c>
      <c r="V7" s="21" t="s">
        <v>194</v>
      </c>
      <c r="W7" s="21" t="s">
        <v>195</v>
      </c>
      <c r="X7" s="21" t="s">
        <v>196</v>
      </c>
      <c r="Y7" s="21" t="s">
        <v>197</v>
      </c>
      <c r="Z7" s="21" t="s">
        <v>198</v>
      </c>
      <c r="AA7" s="21" t="s">
        <v>199</v>
      </c>
    </row>
    <row r="8" spans="1:27" ht="12" customHeight="1">
      <c r="A8" s="29">
        <v>1</v>
      </c>
      <c r="B8" s="29">
        <v>2</v>
      </c>
      <c r="C8" s="29">
        <v>3</v>
      </c>
      <c r="D8" s="29">
        <v>4</v>
      </c>
      <c r="E8" s="29">
        <v>5</v>
      </c>
      <c r="F8" s="29">
        <v>6</v>
      </c>
      <c r="G8" s="29">
        <v>7</v>
      </c>
      <c r="H8" s="29">
        <v>8</v>
      </c>
      <c r="I8" s="29">
        <v>9</v>
      </c>
      <c r="J8" s="29">
        <v>10</v>
      </c>
      <c r="K8" s="29">
        <v>11</v>
      </c>
      <c r="L8" s="29">
        <v>12</v>
      </c>
      <c r="M8" s="29">
        <v>13</v>
      </c>
      <c r="N8" s="29">
        <v>14</v>
      </c>
      <c r="O8" s="29">
        <v>15</v>
      </c>
      <c r="P8" s="29">
        <v>16</v>
      </c>
      <c r="Q8" s="29">
        <v>17</v>
      </c>
      <c r="R8" s="29">
        <v>18</v>
      </c>
      <c r="S8" s="29">
        <v>19</v>
      </c>
      <c r="T8" s="29">
        <v>20</v>
      </c>
      <c r="U8" s="29">
        <v>21</v>
      </c>
      <c r="V8" s="29">
        <v>22</v>
      </c>
      <c r="W8" s="29">
        <v>23</v>
      </c>
      <c r="X8" s="29">
        <v>24</v>
      </c>
      <c r="Y8" s="29">
        <v>25</v>
      </c>
      <c r="Z8" s="29">
        <v>26</v>
      </c>
      <c r="AA8" s="29">
        <v>27</v>
      </c>
    </row>
    <row r="9" spans="1:27" ht="24" customHeight="1">
      <c r="A9" s="30"/>
      <c r="B9" s="2"/>
      <c r="C9" s="31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24" customHeight="1">
      <c r="A10" s="30"/>
      <c r="B10" s="2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24" customHeight="1">
      <c r="A11" s="30"/>
      <c r="B11" s="2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24" customHeight="1">
      <c r="A12" s="30"/>
      <c r="B12" s="2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21" customHeight="1">
      <c r="A13" s="30"/>
      <c r="B13" s="2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21" customHeight="1">
      <c r="A14" s="30"/>
      <c r="B14" s="2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21" customHeight="1">
      <c r="A15" s="30"/>
      <c r="B15" s="2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21" customHeight="1">
      <c r="A16" s="30"/>
      <c r="B16" s="2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24" customHeight="1">
      <c r="A17" s="30"/>
      <c r="B17" s="2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21" customHeight="1">
      <c r="A18" s="30"/>
      <c r="B18" s="2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21" customHeight="1">
      <c r="A19" s="30"/>
      <c r="B19" s="2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21" customHeight="1">
      <c r="A20" s="30"/>
      <c r="B20" s="2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8" customHeight="1">
      <c r="A21" s="30"/>
      <c r="B21" s="2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8" customHeight="1">
      <c r="A22" s="30"/>
      <c r="B22" s="2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21" customHeight="1">
      <c r="A23" s="30"/>
      <c r="B23" s="2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24" customHeight="1">
      <c r="A24" s="30"/>
      <c r="B24" s="2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21" customHeight="1">
      <c r="A25" s="30"/>
      <c r="B25" s="2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21" customHeight="1">
      <c r="A26" s="30"/>
      <c r="B26" s="2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21" customHeight="1">
      <c r="A27" s="30"/>
      <c r="B27" s="2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21" customHeight="1">
      <c r="A28" s="30"/>
      <c r="B28" s="2"/>
      <c r="C28" s="31"/>
      <c r="D28" s="32"/>
      <c r="E28" s="33"/>
      <c r="F28" s="33"/>
      <c r="G28" s="33"/>
      <c r="H28" s="33"/>
      <c r="I28" s="33"/>
      <c r="J28" s="33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3"/>
      <c r="W28" s="33"/>
      <c r="X28" s="33"/>
      <c r="Y28" s="33"/>
      <c r="Z28" s="33"/>
      <c r="AA28" s="32"/>
    </row>
    <row r="29" spans="1:27" ht="18" customHeight="1">
      <c r="A29" s="30"/>
      <c r="B29" s="2"/>
      <c r="C29" s="31"/>
      <c r="D29" s="32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ht="24" customHeight="1">
      <c r="A30" s="30"/>
      <c r="B30" s="2"/>
      <c r="C30" s="31"/>
      <c r="D30" s="32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ht="21" customHeight="1">
      <c r="A31" s="30"/>
      <c r="B31" s="2"/>
      <c r="C31" s="31"/>
      <c r="D31" s="32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21" customHeight="1">
      <c r="A32" s="30"/>
      <c r="B32" s="2"/>
      <c r="C32" s="31"/>
      <c r="D32" s="32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ht="21" customHeight="1">
      <c r="A33" s="30"/>
      <c r="B33" s="2"/>
      <c r="C33" s="31"/>
      <c r="D33" s="32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8" customHeight="1">
      <c r="A34" s="30"/>
      <c r="B34" s="35"/>
      <c r="C34" s="31"/>
      <c r="D34" s="32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ht="24" customHeight="1">
      <c r="A35" s="30"/>
      <c r="B35" s="2"/>
      <c r="C35" s="36"/>
      <c r="D35" s="32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ht="21" hidden="1" customHeight="1">
      <c r="A36" s="30"/>
      <c r="B36" s="2"/>
      <c r="C36" s="31"/>
      <c r="D36" s="32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ht="21" customHeight="1">
      <c r="A37" s="30"/>
      <c r="B37" s="37"/>
      <c r="C37" s="31"/>
      <c r="D37" s="32"/>
      <c r="E37" s="33"/>
      <c r="F37" s="34"/>
      <c r="G37" s="33"/>
      <c r="H37" s="33"/>
      <c r="I37" s="34"/>
      <c r="J37" s="34"/>
      <c r="K37" s="34"/>
      <c r="L37" s="34"/>
      <c r="M37" s="33"/>
      <c r="N37" s="34"/>
      <c r="O37" s="34"/>
      <c r="P37" s="34"/>
      <c r="Q37" s="34"/>
      <c r="R37" s="33"/>
      <c r="S37" s="34"/>
      <c r="T37" s="34"/>
      <c r="U37" s="34"/>
      <c r="V37" s="34"/>
      <c r="W37" s="34"/>
      <c r="X37" s="34"/>
      <c r="Y37" s="34"/>
      <c r="Z37" s="34"/>
      <c r="AA37" s="34"/>
    </row>
    <row r="38" spans="1:27" ht="21" customHeight="1">
      <c r="A38" s="30"/>
      <c r="B38" s="37"/>
      <c r="C38" s="31"/>
      <c r="D38" s="32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ht="21" customHeight="1">
      <c r="A39" s="30"/>
      <c r="B39" s="2"/>
      <c r="C39" s="31"/>
      <c r="D39" s="32"/>
      <c r="E39" s="34"/>
      <c r="F39" s="34"/>
      <c r="G39" s="34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ht="21" customHeight="1">
      <c r="A40" s="30"/>
      <c r="B40" s="2"/>
      <c r="C40" s="4"/>
      <c r="D40" s="32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ht="24" customHeight="1">
      <c r="A41" s="30"/>
      <c r="B41" s="38"/>
      <c r="C41" s="38"/>
      <c r="D41" s="32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</sheetData>
  <mergeCells count="13">
    <mergeCell ref="A2:AA2"/>
    <mergeCell ref="A5:A7"/>
    <mergeCell ref="B5:B7"/>
    <mergeCell ref="C5:C7"/>
    <mergeCell ref="D5:K5"/>
    <mergeCell ref="L5:S5"/>
    <mergeCell ref="T5:AA5"/>
    <mergeCell ref="D6:G6"/>
    <mergeCell ref="H6:K6"/>
    <mergeCell ref="L6:O6"/>
    <mergeCell ref="P6:S6"/>
    <mergeCell ref="T6:W6"/>
    <mergeCell ref="X6:AA6"/>
  </mergeCells>
  <pageMargins left="0.78749999999999998" right="0.78749999999999998" top="0.94166666666666698" bottom="0.94166666666666698" header="0.78749999999999998" footer="0.78749999999999998"/>
  <pageSetup paperSize="9" orientation="portrait" horizontalDpi="300" verticalDpi="300"/>
  <headerFooter>
    <oddHeader>&amp;C&amp;"Times New Roman,Обычный"&amp;A</oddHeader>
    <oddFooter>&amp;C&amp;"Times New Roman,Обычный"Страница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MJ14"/>
  <sheetViews>
    <sheetView zoomScale="65" zoomScaleNormal="65" workbookViewId="0">
      <selection activeCell="C14" sqref="A9:C14"/>
    </sheetView>
  </sheetViews>
  <sheetFormatPr defaultColWidth="7.28515625" defaultRowHeight="12.75"/>
  <cols>
    <col min="1" max="1" width="18.140625" style="1" customWidth="1"/>
    <col min="2" max="2" width="27.28515625" style="1" customWidth="1"/>
    <col min="3" max="3" width="27.42578125" style="1" customWidth="1"/>
    <col min="4" max="4" width="15" style="1" customWidth="1"/>
    <col min="5" max="12" width="5.42578125" style="1" customWidth="1"/>
    <col min="13" max="1024" width="7.28515625" style="1"/>
  </cols>
  <sheetData>
    <row r="2" spans="1:12" ht="20.25">
      <c r="A2" s="7" t="s">
        <v>212</v>
      </c>
      <c r="B2" s="39"/>
    </row>
    <row r="4" spans="1:12">
      <c r="A4" s="1" t="s">
        <v>213</v>
      </c>
    </row>
    <row r="5" spans="1:12" ht="18" customHeight="1">
      <c r="A5" s="78" t="s">
        <v>214</v>
      </c>
      <c r="B5" s="78" t="s">
        <v>11</v>
      </c>
      <c r="C5" s="78" t="s">
        <v>215</v>
      </c>
      <c r="D5" s="78" t="s">
        <v>216</v>
      </c>
      <c r="E5" s="79" t="s">
        <v>217</v>
      </c>
      <c r="F5" s="79"/>
      <c r="G5" s="79"/>
      <c r="H5" s="79"/>
      <c r="I5" s="79"/>
      <c r="J5" s="79"/>
      <c r="K5" s="79"/>
      <c r="L5" s="79"/>
    </row>
    <row r="6" spans="1:12" ht="18" customHeight="1">
      <c r="A6" s="78"/>
      <c r="B6" s="78"/>
      <c r="C6" s="78"/>
      <c r="D6" s="78"/>
      <c r="E6" s="79" t="s">
        <v>189</v>
      </c>
      <c r="F6" s="79"/>
      <c r="G6" s="79"/>
      <c r="H6" s="79"/>
      <c r="I6" s="79" t="s">
        <v>211</v>
      </c>
      <c r="J6" s="79"/>
      <c r="K6" s="79"/>
      <c r="L6" s="79"/>
    </row>
    <row r="7" spans="1:12" ht="27" customHeight="1">
      <c r="A7" s="78"/>
      <c r="B7" s="78"/>
      <c r="C7" s="78"/>
      <c r="D7" s="78"/>
      <c r="E7" s="41" t="s">
        <v>192</v>
      </c>
      <c r="F7" s="41" t="s">
        <v>193</v>
      </c>
      <c r="G7" s="41" t="s">
        <v>194</v>
      </c>
      <c r="H7" s="41" t="s">
        <v>195</v>
      </c>
      <c r="I7" s="41" t="s">
        <v>196</v>
      </c>
      <c r="J7" s="41" t="s">
        <v>197</v>
      </c>
      <c r="K7" s="41" t="s">
        <v>198</v>
      </c>
      <c r="L7" s="41" t="s">
        <v>199</v>
      </c>
    </row>
    <row r="8" spans="1:12" ht="12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2">
        <v>6</v>
      </c>
      <c r="G8" s="42">
        <v>7</v>
      </c>
      <c r="H8" s="42">
        <v>8</v>
      </c>
      <c r="I8" s="42">
        <v>9</v>
      </c>
      <c r="J8" s="42">
        <v>10</v>
      </c>
      <c r="K8" s="42">
        <v>11</v>
      </c>
      <c r="L8" s="42">
        <v>12</v>
      </c>
    </row>
    <row r="9" spans="1:12" ht="44.85" customHeight="1">
      <c r="A9" s="43"/>
      <c r="B9" s="44"/>
      <c r="C9" s="45"/>
      <c r="D9" s="46"/>
      <c r="E9" s="32"/>
      <c r="F9" s="32"/>
      <c r="G9" s="32"/>
      <c r="H9" s="32"/>
      <c r="I9" s="32"/>
      <c r="J9" s="32"/>
      <c r="K9" s="32"/>
      <c r="L9" s="32"/>
    </row>
    <row r="10" spans="1:12" ht="31.35" customHeight="1">
      <c r="A10" s="47"/>
      <c r="B10" s="44"/>
      <c r="C10" s="48"/>
      <c r="D10" s="46"/>
      <c r="E10" s="32"/>
      <c r="F10" s="32"/>
      <c r="G10" s="32"/>
      <c r="H10" s="32"/>
      <c r="I10" s="32"/>
      <c r="J10" s="32"/>
      <c r="K10" s="32"/>
      <c r="L10" s="32"/>
    </row>
    <row r="11" spans="1:12" ht="33" hidden="1" customHeight="1">
      <c r="A11" s="49"/>
      <c r="B11" s="44"/>
      <c r="C11" s="4"/>
      <c r="D11" s="46"/>
      <c r="E11" s="32"/>
      <c r="F11" s="32"/>
      <c r="G11" s="32"/>
      <c r="H11" s="32"/>
      <c r="I11" s="32"/>
      <c r="J11" s="32"/>
      <c r="K11" s="32"/>
      <c r="L11" s="32"/>
    </row>
    <row r="12" spans="1:12" ht="33" hidden="1" customHeight="1">
      <c r="A12" s="47"/>
      <c r="B12" s="40"/>
      <c r="C12" s="4"/>
      <c r="D12" s="46"/>
      <c r="E12" s="32"/>
      <c r="F12" s="32"/>
      <c r="G12" s="32"/>
      <c r="H12" s="32"/>
      <c r="I12" s="32"/>
      <c r="J12" s="32"/>
      <c r="K12" s="32"/>
      <c r="L12" s="32"/>
    </row>
    <row r="13" spans="1:12" ht="27.6" customHeight="1">
      <c r="A13" s="47"/>
      <c r="B13" s="50"/>
      <c r="C13" s="4"/>
      <c r="D13" s="46"/>
      <c r="E13" s="51"/>
      <c r="F13" s="51"/>
      <c r="G13" s="51"/>
      <c r="H13" s="51"/>
      <c r="I13" s="51"/>
      <c r="J13" s="51"/>
      <c r="K13" s="51"/>
      <c r="L13" s="51"/>
    </row>
    <row r="14" spans="1:12">
      <c r="A14" s="52"/>
      <c r="B14" s="53"/>
      <c r="C14" s="52"/>
      <c r="D14" s="46"/>
      <c r="E14" s="51"/>
      <c r="F14" s="51"/>
      <c r="G14" s="51"/>
      <c r="H14" s="51"/>
      <c r="I14" s="51"/>
      <c r="J14" s="51"/>
      <c r="K14" s="51"/>
      <c r="L14" s="51"/>
    </row>
  </sheetData>
  <mergeCells count="7">
    <mergeCell ref="A5:A7"/>
    <mergeCell ref="B5:B7"/>
    <mergeCell ref="C5:C7"/>
    <mergeCell ref="D5:D7"/>
    <mergeCell ref="E5:L5"/>
    <mergeCell ref="E6:H6"/>
    <mergeCell ref="I6:L6"/>
  </mergeCells>
  <pageMargins left="0.98402777777777795" right="0.98402777777777795" top="0.74791666666666701" bottom="0.74791666666666701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MJ41"/>
  <sheetViews>
    <sheetView zoomScale="55" zoomScaleNormal="55" workbookViewId="0">
      <selection activeCell="B9" sqref="B9"/>
    </sheetView>
  </sheetViews>
  <sheetFormatPr defaultColWidth="7.28515625" defaultRowHeight="12.75"/>
  <cols>
    <col min="1" max="1" width="30.5703125" style="1" customWidth="1"/>
    <col min="2" max="2" width="18.140625" style="1" customWidth="1"/>
    <col min="3" max="3" width="25.7109375" style="1" customWidth="1"/>
    <col min="4" max="19" width="5.42578125" style="1" customWidth="1"/>
    <col min="20" max="1024" width="7.28515625" style="1"/>
  </cols>
  <sheetData>
    <row r="2" spans="1:19" ht="42" customHeight="1">
      <c r="A2" s="75" t="s">
        <v>218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</row>
    <row r="4" spans="1:19">
      <c r="A4" s="1" t="s">
        <v>219</v>
      </c>
    </row>
    <row r="5" spans="1:19" ht="18" customHeight="1">
      <c r="A5" s="80" t="s">
        <v>220</v>
      </c>
      <c r="B5" s="80" t="s">
        <v>11</v>
      </c>
      <c r="C5" s="80" t="s">
        <v>221</v>
      </c>
      <c r="D5" s="81" t="s">
        <v>222</v>
      </c>
      <c r="E5" s="81"/>
      <c r="F5" s="81"/>
      <c r="G5" s="81"/>
      <c r="H5" s="81"/>
      <c r="I5" s="81"/>
      <c r="J5" s="81"/>
      <c r="K5" s="81"/>
      <c r="L5" s="81" t="s">
        <v>223</v>
      </c>
      <c r="M5" s="81"/>
      <c r="N5" s="81"/>
      <c r="O5" s="81"/>
      <c r="P5" s="81"/>
      <c r="Q5" s="81"/>
      <c r="R5" s="81"/>
      <c r="S5" s="81"/>
    </row>
    <row r="6" spans="1:19" ht="18" customHeight="1">
      <c r="A6" s="80"/>
      <c r="B6" s="80"/>
      <c r="C6" s="80"/>
      <c r="D6" s="81" t="s">
        <v>189</v>
      </c>
      <c r="E6" s="81"/>
      <c r="F6" s="81"/>
      <c r="G6" s="81"/>
      <c r="H6" s="81" t="s">
        <v>211</v>
      </c>
      <c r="I6" s="81"/>
      <c r="J6" s="81"/>
      <c r="K6" s="81"/>
      <c r="L6" s="81" t="s">
        <v>189</v>
      </c>
      <c r="M6" s="81"/>
      <c r="N6" s="81"/>
      <c r="O6" s="81"/>
      <c r="P6" s="81" t="s">
        <v>211</v>
      </c>
      <c r="Q6" s="81"/>
      <c r="R6" s="81"/>
      <c r="S6" s="81"/>
    </row>
    <row r="7" spans="1:19" ht="27" customHeight="1">
      <c r="A7" s="80"/>
      <c r="B7" s="80"/>
      <c r="C7" s="80"/>
      <c r="D7" s="21" t="s">
        <v>192</v>
      </c>
      <c r="E7" s="21" t="s">
        <v>193</v>
      </c>
      <c r="F7" s="21" t="s">
        <v>194</v>
      </c>
      <c r="G7" s="21" t="s">
        <v>195</v>
      </c>
      <c r="H7" s="21" t="s">
        <v>196</v>
      </c>
      <c r="I7" s="21" t="s">
        <v>197</v>
      </c>
      <c r="J7" s="21" t="s">
        <v>198</v>
      </c>
      <c r="K7" s="21" t="s">
        <v>199</v>
      </c>
      <c r="L7" s="21" t="s">
        <v>192</v>
      </c>
      <c r="M7" s="21" t="s">
        <v>193</v>
      </c>
      <c r="N7" s="21" t="s">
        <v>194</v>
      </c>
      <c r="O7" s="21" t="s">
        <v>195</v>
      </c>
      <c r="P7" s="21" t="s">
        <v>196</v>
      </c>
      <c r="Q7" s="21" t="s">
        <v>197</v>
      </c>
      <c r="R7" s="21" t="s">
        <v>198</v>
      </c>
      <c r="S7" s="21" t="s">
        <v>199</v>
      </c>
    </row>
    <row r="8" spans="1:19" ht="12" customHeight="1">
      <c r="A8" s="22">
        <v>1</v>
      </c>
      <c r="B8" s="22">
        <v>2</v>
      </c>
      <c r="C8" s="22">
        <v>3</v>
      </c>
      <c r="D8" s="22">
        <v>4</v>
      </c>
      <c r="E8" s="22">
        <v>5</v>
      </c>
      <c r="F8" s="22">
        <v>6</v>
      </c>
      <c r="G8" s="22">
        <v>7</v>
      </c>
      <c r="H8" s="22">
        <v>8</v>
      </c>
      <c r="I8" s="22">
        <v>9</v>
      </c>
      <c r="J8" s="22">
        <v>10</v>
      </c>
      <c r="K8" s="22">
        <v>11</v>
      </c>
      <c r="L8" s="22">
        <v>12</v>
      </c>
      <c r="M8" s="22">
        <v>13</v>
      </c>
      <c r="N8" s="22">
        <v>14</v>
      </c>
      <c r="O8" s="22">
        <v>15</v>
      </c>
      <c r="P8" s="22">
        <v>16</v>
      </c>
      <c r="Q8" s="22">
        <v>17</v>
      </c>
      <c r="R8" s="22">
        <v>18</v>
      </c>
      <c r="S8" s="22">
        <v>19</v>
      </c>
    </row>
    <row r="9" spans="1:19" ht="18" customHeight="1">
      <c r="A9" s="30"/>
      <c r="B9" s="2"/>
      <c r="C9" s="5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ht="24" customHeight="1">
      <c r="A10" s="30"/>
      <c r="B10" s="2"/>
      <c r="C10" s="5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19" ht="24" customHeight="1">
      <c r="A11" s="30"/>
      <c r="B11" s="2"/>
      <c r="C11" s="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19" ht="18" customHeight="1">
      <c r="A12" s="30"/>
      <c r="B12" s="2"/>
      <c r="C12" s="5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ht="18" customHeight="1">
      <c r="A13" s="30"/>
      <c r="B13" s="2"/>
      <c r="C13" s="5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ht="21" customHeight="1">
      <c r="A14" s="30"/>
      <c r="B14" s="2"/>
      <c r="C14" s="5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ht="21" customHeight="1">
      <c r="A15" s="30"/>
      <c r="B15" s="2"/>
      <c r="C15" s="5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 ht="21" customHeight="1">
      <c r="A16" s="30"/>
      <c r="B16" s="2"/>
      <c r="C16" s="5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19" ht="24" customHeight="1">
      <c r="A17" s="30"/>
      <c r="B17" s="2"/>
      <c r="C17" s="5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1:19" ht="21" customHeight="1">
      <c r="A18" s="30"/>
      <c r="B18" s="2"/>
      <c r="C18" s="5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19" ht="24" customHeight="1">
      <c r="A19" s="30"/>
      <c r="B19" s="2"/>
      <c r="C19" s="5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</row>
    <row r="20" spans="1:19" ht="21" customHeight="1">
      <c r="A20" s="30"/>
      <c r="B20" s="2"/>
      <c r="C20" s="5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</row>
    <row r="21" spans="1:19" ht="18" customHeight="1">
      <c r="A21" s="30"/>
      <c r="B21" s="2"/>
      <c r="C21" s="5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</row>
    <row r="22" spans="1:19" ht="21" customHeight="1">
      <c r="A22" s="30"/>
      <c r="B22" s="2"/>
      <c r="C22" s="5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</row>
    <row r="23" spans="1:19" ht="18" customHeight="1">
      <c r="A23" s="30"/>
      <c r="B23" s="2"/>
      <c r="C23" s="5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</row>
    <row r="24" spans="1:19" ht="21" customHeight="1">
      <c r="A24" s="30"/>
      <c r="B24" s="2"/>
      <c r="C24" s="5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</row>
    <row r="25" spans="1:19" ht="21" customHeight="1">
      <c r="A25" s="30"/>
      <c r="B25" s="2"/>
      <c r="C25" s="5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</row>
    <row r="26" spans="1:19" ht="18" customHeight="1">
      <c r="A26" s="30"/>
      <c r="B26" s="2"/>
      <c r="C26" s="5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</row>
    <row r="27" spans="1:19" ht="21" customHeight="1">
      <c r="A27" s="30"/>
      <c r="B27" s="2"/>
      <c r="C27" s="5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1:19" ht="24" customHeight="1">
      <c r="A28" s="30"/>
      <c r="B28" s="2"/>
      <c r="C28" s="5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1:19" ht="24" customHeight="1">
      <c r="A29" s="30"/>
      <c r="B29" s="2"/>
      <c r="C29" s="5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</row>
    <row r="30" spans="1:19" ht="21" customHeight="1">
      <c r="A30" s="30"/>
      <c r="B30" s="2"/>
      <c r="C30" s="5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</row>
    <row r="31" spans="1:19" ht="21" customHeight="1">
      <c r="A31" s="30"/>
      <c r="B31" s="2"/>
      <c r="C31" s="5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</row>
    <row r="32" spans="1:19" ht="18" customHeight="1">
      <c r="A32" s="30"/>
      <c r="B32" s="2"/>
      <c r="C32" s="5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</row>
    <row r="33" spans="1:19" ht="24" customHeight="1">
      <c r="A33" s="30"/>
      <c r="B33" s="2"/>
      <c r="C33" s="5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</row>
    <row r="34" spans="1:19" ht="33" customHeight="1">
      <c r="A34" s="30"/>
      <c r="B34" s="2"/>
      <c r="C34" s="5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</row>
    <row r="35" spans="1:19" ht="33" customHeight="1">
      <c r="A35" s="30"/>
      <c r="B35" s="2"/>
      <c r="C35" s="5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</row>
    <row r="36" spans="1:19" ht="33" hidden="1" customHeight="1">
      <c r="A36" s="30"/>
      <c r="B36" s="2"/>
      <c r="C36" s="5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</row>
    <row r="37" spans="1:19" ht="30" customHeight="1">
      <c r="A37" s="30"/>
      <c r="B37" s="2"/>
      <c r="C37" s="5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</row>
    <row r="38" spans="1:19" ht="30" customHeight="1">
      <c r="A38" s="30"/>
      <c r="B38" s="2"/>
      <c r="C38" s="5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</row>
    <row r="39" spans="1:19" ht="30" customHeight="1">
      <c r="A39" s="30"/>
      <c r="B39" s="2"/>
      <c r="C39" s="5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</row>
    <row r="40" spans="1:19" ht="30" customHeight="1">
      <c r="A40" s="30"/>
      <c r="B40" s="2"/>
      <c r="C40" s="5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</row>
    <row r="41" spans="1:19" ht="26.1" customHeight="1">
      <c r="A41" s="54"/>
      <c r="B41" s="55"/>
      <c r="C41" s="56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</row>
  </sheetData>
  <mergeCells count="10">
    <mergeCell ref="A2:S2"/>
    <mergeCell ref="A5:A7"/>
    <mergeCell ref="B5:B7"/>
    <mergeCell ref="C5:C7"/>
    <mergeCell ref="D5:K5"/>
    <mergeCell ref="L5:S5"/>
    <mergeCell ref="D6:G6"/>
    <mergeCell ref="H6:K6"/>
    <mergeCell ref="L6:O6"/>
    <mergeCell ref="P6:S6"/>
  </mergeCells>
  <pageMargins left="0.78749999999999998" right="0.78749999999999998" top="0.94166666666666698" bottom="0.94166666666666698" header="0.78749999999999998" footer="0.78749999999999998"/>
  <pageSetup paperSize="9" orientation="portrait" horizontalDpi="300" verticalDpi="300"/>
  <headerFooter>
    <oddHeader>&amp;C&amp;"Times New Roman,Обычный"&amp;A</oddHeader>
    <oddFooter>&amp;C&amp;"Times New Roman,Обычный"Страница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MJ40"/>
  <sheetViews>
    <sheetView tabSelected="1" zoomScale="65" zoomScaleNormal="65" workbookViewId="0">
      <selection activeCell="D8" sqref="D8:E38"/>
    </sheetView>
  </sheetViews>
  <sheetFormatPr defaultColWidth="7.28515625" defaultRowHeight="12.75"/>
  <cols>
    <col min="1" max="1" width="24.85546875" style="1" customWidth="1"/>
    <col min="2" max="2" width="27.42578125" style="1" customWidth="1"/>
    <col min="3" max="3" width="17.7109375" style="1" customWidth="1"/>
    <col min="4" max="9" width="10.140625" style="1" customWidth="1"/>
    <col min="10" max="20" width="5.42578125" style="1" customWidth="1"/>
    <col min="21" max="1024" width="7.28515625" style="1"/>
  </cols>
  <sheetData>
    <row r="2" spans="1:9" ht="20.25">
      <c r="A2" s="7" t="s">
        <v>224</v>
      </c>
      <c r="B2" s="7"/>
      <c r="C2" s="39"/>
    </row>
    <row r="4" spans="1:9">
      <c r="A4" s="1" t="s">
        <v>225</v>
      </c>
    </row>
    <row r="5" spans="1:9" ht="18" customHeight="1">
      <c r="A5" s="78" t="s">
        <v>91</v>
      </c>
      <c r="B5" s="78" t="s">
        <v>28</v>
      </c>
      <c r="C5" s="78" t="s">
        <v>226</v>
      </c>
      <c r="D5" s="78" t="s">
        <v>227</v>
      </c>
      <c r="E5" s="78"/>
      <c r="F5" s="78" t="s">
        <v>228</v>
      </c>
      <c r="G5" s="78" t="s">
        <v>229</v>
      </c>
      <c r="H5" s="78"/>
      <c r="I5" s="78" t="s">
        <v>230</v>
      </c>
    </row>
    <row r="6" spans="1:9" ht="27" customHeight="1">
      <c r="A6" s="78"/>
      <c r="B6" s="78"/>
      <c r="C6" s="78"/>
      <c r="D6" s="9" t="s">
        <v>231</v>
      </c>
      <c r="E6" s="9" t="s">
        <v>232</v>
      </c>
      <c r="F6" s="78"/>
      <c r="G6" s="9" t="s">
        <v>231</v>
      </c>
      <c r="H6" s="9" t="s">
        <v>232</v>
      </c>
      <c r="I6" s="78"/>
    </row>
    <row r="7" spans="1:9" ht="12" customHeight="1">
      <c r="A7" s="57">
        <v>1</v>
      </c>
      <c r="B7" s="57">
        <v>2</v>
      </c>
      <c r="C7" s="57">
        <v>3</v>
      </c>
      <c r="D7" s="57">
        <v>4</v>
      </c>
      <c r="E7" s="57">
        <v>5</v>
      </c>
      <c r="F7" s="57">
        <v>6</v>
      </c>
      <c r="G7" s="57"/>
      <c r="H7" s="57"/>
      <c r="I7" s="57"/>
    </row>
    <row r="8" spans="1:9" ht="18" customHeight="1">
      <c r="A8" s="4" t="s">
        <v>29</v>
      </c>
      <c r="B8" s="4" t="s">
        <v>30</v>
      </c>
      <c r="C8" s="82" t="s">
        <v>233</v>
      </c>
      <c r="D8" s="59"/>
      <c r="E8" s="59"/>
      <c r="F8" s="82" t="s">
        <v>234</v>
      </c>
      <c r="G8" s="59"/>
      <c r="H8" s="60"/>
      <c r="I8" s="59"/>
    </row>
    <row r="9" spans="1:9" ht="18" customHeight="1">
      <c r="A9" s="4" t="s">
        <v>31</v>
      </c>
      <c r="B9" s="4" t="s">
        <v>32</v>
      </c>
      <c r="C9" s="82"/>
      <c r="D9" s="59"/>
      <c r="E9" s="59"/>
      <c r="F9" s="82"/>
      <c r="G9" s="59"/>
      <c r="H9" s="60"/>
      <c r="I9" s="59"/>
    </row>
    <row r="10" spans="1:9" ht="18" customHeight="1">
      <c r="A10" s="4" t="s">
        <v>33</v>
      </c>
      <c r="B10" s="4" t="s">
        <v>34</v>
      </c>
      <c r="C10" s="82"/>
      <c r="D10" s="59"/>
      <c r="E10" s="59"/>
      <c r="F10" s="82"/>
      <c r="G10" s="59"/>
      <c r="H10" s="60"/>
      <c r="I10" s="59"/>
    </row>
    <row r="11" spans="1:9" ht="18" customHeight="1">
      <c r="A11" s="4" t="s">
        <v>35</v>
      </c>
      <c r="B11" s="4" t="s">
        <v>36</v>
      </c>
      <c r="C11" s="82"/>
      <c r="D11" s="59"/>
      <c r="E11" s="59"/>
      <c r="F11" s="82"/>
      <c r="G11" s="59"/>
      <c r="H11" s="60"/>
      <c r="I11" s="59"/>
    </row>
    <row r="12" spans="1:9" ht="18" customHeight="1">
      <c r="A12" s="4" t="s">
        <v>37</v>
      </c>
      <c r="B12" s="4" t="s">
        <v>38</v>
      </c>
      <c r="C12" s="82"/>
      <c r="D12" s="59"/>
      <c r="E12" s="59"/>
      <c r="F12" s="82"/>
      <c r="G12" s="59"/>
      <c r="H12" s="60"/>
      <c r="I12" s="59"/>
    </row>
    <row r="13" spans="1:9" ht="18" customHeight="1">
      <c r="A13" s="4" t="s">
        <v>39</v>
      </c>
      <c r="B13" s="4" t="s">
        <v>40</v>
      </c>
      <c r="C13" s="82"/>
      <c r="D13" s="59"/>
      <c r="E13" s="59"/>
      <c r="F13" s="82"/>
      <c r="G13" s="59"/>
      <c r="H13" s="60"/>
      <c r="I13" s="59"/>
    </row>
    <row r="14" spans="1:9" ht="13.5">
      <c r="A14" s="4" t="s">
        <v>41</v>
      </c>
      <c r="B14" s="4" t="s">
        <v>42</v>
      </c>
      <c r="C14" s="82"/>
      <c r="D14" s="59"/>
      <c r="E14" s="59"/>
      <c r="F14" s="82"/>
      <c r="G14" s="59"/>
      <c r="H14" s="60"/>
      <c r="I14" s="59"/>
    </row>
    <row r="15" spans="1:9" ht="13.5">
      <c r="A15" s="4" t="s">
        <v>43</v>
      </c>
      <c r="B15" s="4" t="s">
        <v>44</v>
      </c>
      <c r="C15" s="82"/>
      <c r="D15" s="59"/>
      <c r="E15" s="59"/>
      <c r="F15" s="82"/>
      <c r="G15" s="59"/>
      <c r="H15" s="60"/>
      <c r="I15" s="59"/>
    </row>
    <row r="16" spans="1:9" ht="13.5">
      <c r="A16" s="4" t="s">
        <v>45</v>
      </c>
      <c r="B16" s="4" t="s">
        <v>46</v>
      </c>
      <c r="C16" s="82"/>
      <c r="D16" s="59"/>
      <c r="E16" s="59"/>
      <c r="F16" s="82"/>
      <c r="G16" s="59"/>
      <c r="H16" s="60"/>
      <c r="I16" s="59"/>
    </row>
    <row r="17" spans="1:9" ht="13.5">
      <c r="A17" s="4" t="s">
        <v>47</v>
      </c>
      <c r="B17" s="4" t="s">
        <v>48</v>
      </c>
      <c r="C17" s="82"/>
      <c r="D17" s="59"/>
      <c r="E17" s="59"/>
      <c r="F17" s="82"/>
      <c r="G17" s="59"/>
      <c r="H17" s="60"/>
      <c r="I17" s="59"/>
    </row>
    <row r="18" spans="1:9" ht="13.5">
      <c r="A18" s="4" t="s">
        <v>49</v>
      </c>
      <c r="B18" s="4" t="s">
        <v>50</v>
      </c>
      <c r="C18" s="82"/>
      <c r="D18" s="59"/>
      <c r="E18" s="59"/>
      <c r="F18" s="82"/>
      <c r="G18" s="59"/>
      <c r="H18" s="60"/>
      <c r="I18" s="59"/>
    </row>
    <row r="19" spans="1:9" ht="13.5">
      <c r="A19" s="4" t="s">
        <v>51</v>
      </c>
      <c r="B19" s="4" t="s">
        <v>52</v>
      </c>
      <c r="C19" s="82"/>
      <c r="D19" s="59"/>
      <c r="E19" s="59"/>
      <c r="F19" s="82"/>
      <c r="G19" s="59"/>
      <c r="H19" s="60"/>
      <c r="I19" s="59"/>
    </row>
    <row r="20" spans="1:9" ht="13.5">
      <c r="A20" s="4" t="s">
        <v>53</v>
      </c>
      <c r="B20" s="4" t="s">
        <v>54</v>
      </c>
      <c r="C20" s="82"/>
      <c r="D20" s="59"/>
      <c r="E20" s="59"/>
      <c r="F20" s="82"/>
      <c r="G20" s="59"/>
      <c r="H20" s="60"/>
      <c r="I20" s="59"/>
    </row>
    <row r="21" spans="1:9" ht="13.5">
      <c r="A21" s="4" t="s">
        <v>55</v>
      </c>
      <c r="B21" s="4" t="s">
        <v>56</v>
      </c>
      <c r="C21" s="82"/>
      <c r="D21" s="59"/>
      <c r="E21" s="59"/>
      <c r="F21" s="82"/>
      <c r="G21" s="59"/>
      <c r="H21" s="60"/>
      <c r="I21" s="59"/>
    </row>
    <row r="22" spans="1:9" ht="13.5">
      <c r="A22" s="4" t="s">
        <v>57</v>
      </c>
      <c r="B22" s="4" t="s">
        <v>58</v>
      </c>
      <c r="C22" s="82"/>
      <c r="D22" s="59"/>
      <c r="E22" s="59"/>
      <c r="F22" s="82"/>
      <c r="G22" s="59"/>
      <c r="H22" s="60"/>
      <c r="I22" s="59"/>
    </row>
    <row r="23" spans="1:9" ht="13.5">
      <c r="A23" s="4" t="s">
        <v>59</v>
      </c>
      <c r="B23" s="4" t="s">
        <v>60</v>
      </c>
      <c r="C23" s="82"/>
      <c r="D23" s="59"/>
      <c r="E23" s="59"/>
      <c r="F23" s="82"/>
      <c r="G23" s="59"/>
      <c r="H23" s="60"/>
      <c r="I23" s="59"/>
    </row>
    <row r="24" spans="1:9" ht="13.5">
      <c r="A24" s="4" t="s">
        <v>61</v>
      </c>
      <c r="B24" s="4" t="s">
        <v>62</v>
      </c>
      <c r="C24" s="82"/>
      <c r="D24" s="59"/>
      <c r="E24" s="59"/>
      <c r="F24" s="82"/>
      <c r="G24" s="59"/>
      <c r="H24" s="60"/>
      <c r="I24" s="59"/>
    </row>
    <row r="25" spans="1:9" ht="13.5">
      <c r="A25" s="4" t="s">
        <v>63</v>
      </c>
      <c r="B25" s="4" t="s">
        <v>64</v>
      </c>
      <c r="C25" s="82"/>
      <c r="D25" s="59"/>
      <c r="E25" s="59"/>
      <c r="F25" s="82"/>
      <c r="G25" s="59"/>
      <c r="H25" s="60"/>
      <c r="I25" s="59"/>
    </row>
    <row r="26" spans="1:9" ht="13.5">
      <c r="A26" s="4" t="s">
        <v>65</v>
      </c>
      <c r="B26" s="4" t="s">
        <v>66</v>
      </c>
      <c r="C26" s="82"/>
      <c r="D26" s="59"/>
      <c r="E26" s="59"/>
      <c r="F26" s="82"/>
      <c r="G26" s="59"/>
      <c r="H26" s="60"/>
      <c r="I26" s="59"/>
    </row>
    <row r="27" spans="1:9" ht="13.5">
      <c r="A27" s="4" t="s">
        <v>67</v>
      </c>
      <c r="B27" s="4" t="s">
        <v>68</v>
      </c>
      <c r="C27" s="82"/>
      <c r="D27" s="59"/>
      <c r="E27" s="59"/>
      <c r="F27" s="82"/>
      <c r="G27" s="59"/>
      <c r="H27" s="60"/>
      <c r="I27" s="59"/>
    </row>
    <row r="28" spans="1:9" ht="13.5">
      <c r="A28" s="4" t="s">
        <v>69</v>
      </c>
      <c r="B28" s="4" t="s">
        <v>70</v>
      </c>
      <c r="C28" s="82"/>
      <c r="D28" s="59"/>
      <c r="E28" s="59"/>
      <c r="F28" s="82"/>
      <c r="G28" s="59"/>
      <c r="H28" s="60"/>
      <c r="I28" s="59"/>
    </row>
    <row r="29" spans="1:9" ht="13.5">
      <c r="A29" s="4" t="s">
        <v>71</v>
      </c>
      <c r="B29" s="4" t="s">
        <v>72</v>
      </c>
      <c r="C29" s="82"/>
      <c r="D29" s="59"/>
      <c r="E29" s="59"/>
      <c r="F29" s="82"/>
      <c r="G29" s="59"/>
      <c r="H29" s="60"/>
      <c r="I29" s="59"/>
    </row>
    <row r="30" spans="1:9" ht="13.5">
      <c r="A30" s="4" t="s">
        <v>73</v>
      </c>
      <c r="B30" s="4" t="s">
        <v>74</v>
      </c>
      <c r="C30" s="82"/>
      <c r="D30" s="59"/>
      <c r="E30" s="59"/>
      <c r="F30" s="82"/>
      <c r="G30" s="59"/>
      <c r="H30" s="60"/>
      <c r="I30" s="59"/>
    </row>
    <row r="31" spans="1:9" ht="13.5">
      <c r="A31" s="4" t="s">
        <v>75</v>
      </c>
      <c r="B31" s="4" t="s">
        <v>76</v>
      </c>
      <c r="C31" s="82"/>
      <c r="D31" s="59"/>
      <c r="E31" s="59"/>
      <c r="F31" s="82"/>
      <c r="G31" s="59"/>
      <c r="H31" s="60"/>
      <c r="I31" s="59"/>
    </row>
    <row r="32" spans="1:9" ht="13.5">
      <c r="A32" s="4" t="s">
        <v>77</v>
      </c>
      <c r="B32" s="4" t="s">
        <v>78</v>
      </c>
      <c r="C32" s="82"/>
      <c r="D32" s="59"/>
      <c r="E32" s="59"/>
      <c r="F32" s="82"/>
      <c r="G32" s="59"/>
      <c r="H32" s="60"/>
      <c r="I32" s="59"/>
    </row>
    <row r="33" spans="1:10" ht="13.5">
      <c r="A33" s="4" t="s">
        <v>79</v>
      </c>
      <c r="B33" s="4" t="s">
        <v>80</v>
      </c>
      <c r="C33" s="82"/>
      <c r="D33" s="59"/>
      <c r="E33" s="59"/>
      <c r="F33" s="82"/>
      <c r="G33" s="59"/>
      <c r="H33" s="60"/>
      <c r="I33" s="59"/>
    </row>
    <row r="34" spans="1:10" ht="13.5">
      <c r="A34" s="4" t="s">
        <v>81</v>
      </c>
      <c r="B34" s="4" t="s">
        <v>82</v>
      </c>
      <c r="C34" s="82"/>
      <c r="D34" s="59"/>
      <c r="E34" s="59"/>
      <c r="F34" s="82"/>
      <c r="G34" s="59"/>
      <c r="H34" s="60"/>
      <c r="I34" s="59"/>
    </row>
    <row r="35" spans="1:10" ht="13.5">
      <c r="A35" s="4" t="s">
        <v>83</v>
      </c>
      <c r="B35" s="4" t="s">
        <v>84</v>
      </c>
      <c r="C35" s="82"/>
      <c r="D35" s="59"/>
      <c r="E35" s="59"/>
      <c r="F35" s="82"/>
      <c r="G35" s="59"/>
      <c r="H35" s="60"/>
      <c r="I35" s="59"/>
    </row>
    <row r="36" spans="1:10" ht="13.5">
      <c r="A36" s="4" t="s">
        <v>85</v>
      </c>
      <c r="B36" s="4" t="s">
        <v>86</v>
      </c>
      <c r="C36" s="82"/>
      <c r="D36" s="59"/>
      <c r="E36" s="59"/>
      <c r="F36" s="82"/>
      <c r="G36" s="59"/>
      <c r="H36" s="60"/>
      <c r="I36" s="59"/>
    </row>
    <row r="37" spans="1:10" ht="13.5">
      <c r="A37" s="4" t="s">
        <v>87</v>
      </c>
      <c r="B37" s="4" t="s">
        <v>88</v>
      </c>
      <c r="C37" s="82"/>
      <c r="D37" s="59"/>
      <c r="E37" s="59"/>
      <c r="F37" s="82"/>
      <c r="G37" s="59"/>
      <c r="H37" s="60"/>
      <c r="I37" s="59"/>
    </row>
    <row r="38" spans="1:10" ht="13.5">
      <c r="A38" s="4" t="s">
        <v>89</v>
      </c>
      <c r="B38" s="4" t="s">
        <v>90</v>
      </c>
      <c r="C38" s="82"/>
      <c r="D38" s="59"/>
      <c r="E38" s="59"/>
      <c r="F38" s="82"/>
      <c r="G38" s="59"/>
      <c r="H38" s="60"/>
      <c r="I38" s="59"/>
    </row>
    <row r="39" spans="1:10" s="64" customFormat="1" ht="13.5">
      <c r="A39" s="31" t="s">
        <v>92</v>
      </c>
      <c r="B39" s="31" t="s">
        <v>93</v>
      </c>
      <c r="C39" s="61">
        <v>0.57499999999999996</v>
      </c>
      <c r="D39" s="61">
        <v>0</v>
      </c>
      <c r="E39" s="61">
        <v>0</v>
      </c>
      <c r="F39" s="61">
        <v>0.9</v>
      </c>
      <c r="G39" s="61">
        <v>1.7000000000000001E-2</v>
      </c>
      <c r="H39" s="62">
        <v>3.2000000000000001E-2</v>
      </c>
      <c r="I39" s="62">
        <v>0.28999999999999998</v>
      </c>
      <c r="J39" s="63"/>
    </row>
    <row r="40" spans="1:10" ht="13.5">
      <c r="A40" s="4" t="s">
        <v>94</v>
      </c>
      <c r="B40" s="4" t="s">
        <v>95</v>
      </c>
      <c r="C40" s="65">
        <v>1</v>
      </c>
      <c r="D40" s="66">
        <v>0</v>
      </c>
      <c r="E40" s="67">
        <v>0.45700000000000002</v>
      </c>
      <c r="F40" s="67">
        <v>0.5</v>
      </c>
      <c r="G40" s="68">
        <v>3.2000000000000001E-2</v>
      </c>
      <c r="H40" s="67">
        <v>0.53200000000000003</v>
      </c>
      <c r="I40" s="67">
        <v>0.39</v>
      </c>
    </row>
  </sheetData>
  <mergeCells count="9">
    <mergeCell ref="G5:H5"/>
    <mergeCell ref="I5:I6"/>
    <mergeCell ref="C8:C38"/>
    <mergeCell ref="F8:F38"/>
    <mergeCell ref="A5:A6"/>
    <mergeCell ref="B5:B6"/>
    <mergeCell ref="C5:C6"/>
    <mergeCell ref="D5:E5"/>
    <mergeCell ref="F5:F6"/>
  </mergeCells>
  <pageMargins left="0.196527777777778" right="0.196527777777778" top="0.74791666666666701" bottom="0.74791666666666701" header="0.511811023622047" footer="0.511811023622047"/>
  <pageSetup paperSize="9" orientation="landscape" horizontalDpi="300" verticalDpi="300"/>
  <colBreaks count="1" manualBreakCount="1">
    <brk id="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MJ9"/>
  <sheetViews>
    <sheetView zoomScale="65" zoomScaleNormal="65" workbookViewId="0">
      <selection activeCell="C7" activeCellId="1" sqref="D9:S41 C7"/>
    </sheetView>
  </sheetViews>
  <sheetFormatPr defaultColWidth="7.28515625" defaultRowHeight="12.75"/>
  <cols>
    <col min="1" max="2" width="18.140625" style="1" customWidth="1"/>
    <col min="3" max="3" width="67.85546875" style="1" customWidth="1"/>
    <col min="4" max="11" width="5.42578125" style="1" customWidth="1"/>
    <col min="12" max="1024" width="7.28515625" style="1"/>
  </cols>
  <sheetData>
    <row r="2" spans="1:3" ht="20.25">
      <c r="A2" s="7" t="s">
        <v>235</v>
      </c>
      <c r="B2" s="39"/>
    </row>
    <row r="4" spans="1:3">
      <c r="A4" s="1" t="s">
        <v>236</v>
      </c>
    </row>
    <row r="5" spans="1:3" ht="36" customHeight="1">
      <c r="A5" s="15" t="s">
        <v>237</v>
      </c>
      <c r="B5" s="15" t="s">
        <v>238</v>
      </c>
      <c r="C5" s="15" t="s">
        <v>239</v>
      </c>
    </row>
    <row r="6" spans="1:3" ht="12" customHeight="1">
      <c r="A6" s="69">
        <v>1</v>
      </c>
      <c r="B6" s="69">
        <v>2</v>
      </c>
      <c r="C6" s="69">
        <v>3</v>
      </c>
    </row>
    <row r="7" spans="1:3" ht="171" customHeight="1">
      <c r="A7" s="70" t="s">
        <v>240</v>
      </c>
      <c r="B7" s="71" t="s">
        <v>99</v>
      </c>
      <c r="C7" s="72"/>
    </row>
    <row r="8" spans="1:3" ht="60" customHeight="1">
      <c r="A8" s="70" t="s">
        <v>190</v>
      </c>
      <c r="B8" s="71" t="s">
        <v>99</v>
      </c>
      <c r="C8" s="58"/>
    </row>
    <row r="9" spans="1:3" ht="60" customHeight="1">
      <c r="A9" s="70" t="s">
        <v>241</v>
      </c>
      <c r="B9" s="71" t="s">
        <v>99</v>
      </c>
      <c r="C9" s="13"/>
    </row>
  </sheetData>
  <conditionalFormatting sqref="B7:B9">
    <cfRule type="cellIs" dxfId="2" priority="2" operator="equal">
      <formula>"3 - Критическая"</formula>
    </cfRule>
    <cfRule type="cellIs" dxfId="1" priority="3" operator="equal">
      <formula>"2 - Напряженная"</formula>
    </cfRule>
    <cfRule type="cellIs" dxfId="0" priority="4" operator="equal">
      <formula>"1 - Стабильная"</formula>
    </cfRule>
  </conditionalFormatting>
  <pageMargins left="1.1812499999999999" right="0.196527777777778" top="0.74791666666666701" bottom="0.7479166666666670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53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9</vt:i4>
      </vt:variant>
    </vt:vector>
  </HeadingPairs>
  <TitlesOfParts>
    <vt:vector size="17" baseType="lpstr">
      <vt:lpstr>1-Структура</vt:lpstr>
      <vt:lpstr>Справочник</vt:lpstr>
      <vt:lpstr>2-Потребность</vt:lpstr>
      <vt:lpstr>3-Остатки</vt:lpstr>
      <vt:lpstr>4-Поставка</vt:lpstr>
      <vt:lpstr>5-Реализация</vt:lpstr>
      <vt:lpstr>6-Авиатопливо</vt:lpstr>
      <vt:lpstr>7-Справка</vt:lpstr>
      <vt:lpstr>SF</vt:lpstr>
      <vt:lpstr>'1-Структура'!Область_печати</vt:lpstr>
      <vt:lpstr>'2-Потребность'!Область_печати</vt:lpstr>
      <vt:lpstr>'3-Остатки'!Область_печати</vt:lpstr>
      <vt:lpstr>'4-Поставка'!Область_печати</vt:lpstr>
      <vt:lpstr>'5-Реализация'!Область_печати</vt:lpstr>
      <vt:lpstr>'6-Авиатопливо'!Область_печати</vt:lpstr>
      <vt:lpstr>'7-Справка'!Область_печати</vt:lpstr>
      <vt:lpstr>ситуация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Каженкина Марина</dc:creator>
  <dc:description/>
  <cp:lastModifiedBy>Шахтарин Данил Денисович</cp:lastModifiedBy>
  <cp:revision>72</cp:revision>
  <dcterms:created xsi:type="dcterms:W3CDTF">2024-10-04T07:35:40Z</dcterms:created>
  <dcterms:modified xsi:type="dcterms:W3CDTF">2026-02-19T02:01:55Z</dcterms:modified>
  <dc:language>ru-RU</dc:language>
</cp:coreProperties>
</file>